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 fullCalcOnLoad="1"/>
</workbook>
</file>

<file path=xl/sharedStrings.xml><?xml version="1.0" encoding="utf-8"?>
<sst xmlns="http://schemas.openxmlformats.org/spreadsheetml/2006/main" count="1049" uniqueCount="833">
  <si>
    <t/>
  </si>
  <si>
    <t>Macros App – Product Nutrition Database</t>
  </si>
  <si>
    <t>Last Updated: 2026-06-02</t>
  </si>
  <si>
    <t>All values per 100g as served/consumed. Aliases are semicolon-separated for parsing.</t>
  </si>
  <si>
    <t>▬</t>
  </si>
  <si>
    <t>Product Database</t>
  </si>
  <si>
    <t>category</t>
  </si>
  <si>
    <t>product_name</t>
  </si>
  <si>
    <t>product_name_ua</t>
  </si>
  <si>
    <t>aliases</t>
  </si>
  <si>
    <t>aliases_ua</t>
  </si>
  <si>
    <t>kcal</t>
  </si>
  <si>
    <t>fat_g</t>
  </si>
  <si>
    <t>protein_g</t>
  </si>
  <si>
    <t>carbs_g</t>
  </si>
  <si>
    <t>low_kcal</t>
  </si>
  <si>
    <t>high_kcal</t>
  </si>
  <si>
    <t>low_fat</t>
  </si>
  <si>
    <t>high_fat</t>
  </si>
  <si>
    <t>low_protein</t>
  </si>
  <si>
    <t>high_protein</t>
  </si>
  <si>
    <t>low_carbs</t>
  </si>
  <si>
    <t>high_carbs</t>
  </si>
  <si>
    <t>DISH</t>
  </si>
  <si>
    <t>Borscht</t>
  </si>
  <si>
    <t>Борщ</t>
  </si>
  <si>
    <t>borshch; borsch; beet soup; red borscht; Ukrainian beet soup</t>
  </si>
  <si>
    <t>борщик; червоний борщ; буряковий суп</t>
  </si>
  <si>
    <t>Green Borscht</t>
  </si>
  <si>
    <t>Зелений борщ</t>
  </si>
  <si>
    <t>sorrel soup; shchavel soup; green borshch; spring borscht</t>
  </si>
  <si>
    <t>щавлевий борщ; зелений суп; щавлевий суп</t>
  </si>
  <si>
    <t>Varenyky (Potato)</t>
  </si>
  <si>
    <t>Вареники (з картоплею)</t>
  </si>
  <si>
    <t>pierogi; pyrohy; potato dumplings; varenyky z kartoplieiu</t>
  </si>
  <si>
    <t>вареники з бульбою; пироги з картоплею; вареники картопляні</t>
  </si>
  <si>
    <t>Varenyky (Cottage Cheese)</t>
  </si>
  <si>
    <t>Вареники (з сиром)</t>
  </si>
  <si>
    <t>pierogi; pyrohy; varenyky z syrom; cheese dumplings</t>
  </si>
  <si>
    <t>вареники з творогом; вареники сирні</t>
  </si>
  <si>
    <t>Varenyky (Cherry)</t>
  </si>
  <si>
    <t>Вареники (з вишнею)</t>
  </si>
  <si>
    <t>pierogi; pyrohy; varenyky z vyshneiu; cherry dumplings</t>
  </si>
  <si>
    <t>вареники з вишнями; вареники вишневі; солодкі вареники</t>
  </si>
  <si>
    <t>PRODUCT</t>
  </si>
  <si>
    <t>Salo</t>
  </si>
  <si>
    <t>Сало</t>
  </si>
  <si>
    <t>cured pork fat; pork fatback; Ukrainian lard; smoked salo</t>
  </si>
  <si>
    <t>шпик; сальце; смалець; копчене сало; солоне сало</t>
  </si>
  <si>
    <t>Holubtsi</t>
  </si>
  <si>
    <t>Голубці</t>
  </si>
  <si>
    <t>stuffed cabbage rolls; golubtsi; cabbage rolls; holubci</t>
  </si>
  <si>
    <t>голубчики; капустяні рулети; фаршировані голубці</t>
  </si>
  <si>
    <t>Deruny</t>
  </si>
  <si>
    <t>Деруни</t>
  </si>
  <si>
    <t>potato pancakes; draniki; kartoplianyky; hash browns UA</t>
  </si>
  <si>
    <t>картопляники; картопляні млинці; дерунчики</t>
  </si>
  <si>
    <t>Syrnyky</t>
  </si>
  <si>
    <t>Сирники</t>
  </si>
  <si>
    <t>cottage cheese pancakes; tvorozhniki; curd fritters; cheese fritters</t>
  </si>
  <si>
    <t>сирнички; творожники; сирні оладки</t>
  </si>
  <si>
    <t>Chicken Kyiv</t>
  </si>
  <si>
    <t>Котлета по-київськи</t>
  </si>
  <si>
    <t>chicken kiev; kiev cutlet; kotleta po-kyivsky</t>
  </si>
  <si>
    <t>курка по-київськи; київська котлета</t>
  </si>
  <si>
    <t>Pampushky</t>
  </si>
  <si>
    <t>Пампушки</t>
  </si>
  <si>
    <t>garlic bread rolls; Ukrainian garlic buns; garlic pampushky</t>
  </si>
  <si>
    <t>пампушечки; часникові пампушки; булочки з часником</t>
  </si>
  <si>
    <t>Kutia</t>
  </si>
  <si>
    <t>Кутя</t>
  </si>
  <si>
    <t>wheat berry pudding; kutya; Christmas wheat; kolivo</t>
  </si>
  <si>
    <t>кутя різдвяна; коливо; кутя з маком</t>
  </si>
  <si>
    <t>Okroshka</t>
  </si>
  <si>
    <t>Окрошка</t>
  </si>
  <si>
    <t>cold soup; kvas soup; summer cold soup</t>
  </si>
  <si>
    <t>холодний суп; квасний суп; літня окрошка</t>
  </si>
  <si>
    <t>Solyanka</t>
  </si>
  <si>
    <t>Солянка</t>
  </si>
  <si>
    <t>solianka; sour soup; mixed meat soup</t>
  </si>
  <si>
    <t>солянка м'ясна; кисла солянка; суп солянка</t>
  </si>
  <si>
    <t>Kapusniak</t>
  </si>
  <si>
    <t>Капусняк</t>
  </si>
  <si>
    <t>cabbage soup; sauerkraut soup; kapustniak</t>
  </si>
  <si>
    <t>капустяний суп; суп з кислою капустою</t>
  </si>
  <si>
    <t>Olivier Salad</t>
  </si>
  <si>
    <t>Салат Олів'є</t>
  </si>
  <si>
    <t>olivie; Russian salad; potato salad with mayo; stolichny</t>
  </si>
  <si>
    <t>олів'є; столичний салат; зимовий салат</t>
  </si>
  <si>
    <t>Shuba</t>
  </si>
  <si>
    <t>Шуба</t>
  </si>
  <si>
    <t>herring under fur coat; dressed herring; seledka pod shuboi</t>
  </si>
  <si>
    <t>оселедець під шубою; селедка під шубою</t>
  </si>
  <si>
    <t>Vinaigrette Salad</t>
  </si>
  <si>
    <t>Вінегрет</t>
  </si>
  <si>
    <t>vinegret; beet salad; Ukrainian vinaigrette</t>
  </si>
  <si>
    <t>буряковий салат; овочевий вінегрет</t>
  </si>
  <si>
    <t>Mlyntsi</t>
  </si>
  <si>
    <t>Млинці</t>
  </si>
  <si>
    <t>crepes; bliny; thin pancakes; nalysnyky</t>
  </si>
  <si>
    <t>млинчики; налисники; тонкі млинці; блинчики</t>
  </si>
  <si>
    <t>Halushky</t>
  </si>
  <si>
    <t>Галушки</t>
  </si>
  <si>
    <t>Ukrainian dumplings; dough dumplings; flour dumplings</t>
  </si>
  <si>
    <t>галушечки; кльоцки; борошняні галушки</t>
  </si>
  <si>
    <t>Banosh</t>
  </si>
  <si>
    <t>Банош</t>
  </si>
  <si>
    <t>cornmeal with smetana; Hutsul cornmeal; banush</t>
  </si>
  <si>
    <t>кулеша; гуцульський банош; каша зі сметаною</t>
  </si>
  <si>
    <t>Kovbasa</t>
  </si>
  <si>
    <t>Ковбаса</t>
  </si>
  <si>
    <t>Ukrainian sausage; kolbasa; kielbasa; smoked sausage UA</t>
  </si>
  <si>
    <t>домашня ковбаса; копчена ковбаса; українська ковбаса</t>
  </si>
  <si>
    <t>Kotlety</t>
  </si>
  <si>
    <t>Котлети</t>
  </si>
  <si>
    <t>meat patties; cutlets; meatballs; kotleta</t>
  </si>
  <si>
    <t>котлетки; м'ясні котлети; биточки; зрази</t>
  </si>
  <si>
    <t>Holodets</t>
  </si>
  <si>
    <t>Холодець</t>
  </si>
  <si>
    <t>meat jelly; aspic; kholodets; studen; cold meat jelly</t>
  </si>
  <si>
    <t>студень; холодне; м'ясне желе; драглі</t>
  </si>
  <si>
    <t>Plov</t>
  </si>
  <si>
    <t>Плов</t>
  </si>
  <si>
    <t>pilaf; rice pilaf; Ukrainian pilaf; plov with pork</t>
  </si>
  <si>
    <t>плов з м'ясом; рисова каша з м'ясом</t>
  </si>
  <si>
    <t>Buckwheat (Cooked)</t>
  </si>
  <si>
    <t>Гречка (варена)</t>
  </si>
  <si>
    <t>grechka; kasha; buckwheat porridge; cooked buckwheat</t>
  </si>
  <si>
    <t>гречана каша; каша гречана; відварна гречка</t>
  </si>
  <si>
    <t>Smetana 20%</t>
  </si>
  <si>
    <t>Сметана 20%</t>
  </si>
  <si>
    <t>sour cream; smetana; sour cream 20% fat</t>
  </si>
  <si>
    <t>сметанка; кисла сметана; домашня сметана</t>
  </si>
  <si>
    <t>Tvorog 9%</t>
  </si>
  <si>
    <t>Сир кисломолочний 9%</t>
  </si>
  <si>
    <t>cottage cheese; syr kyslomolochnyi; farmer cheese; quark</t>
  </si>
  <si>
    <t>домашній сир; творог; кисляк; селянський сир</t>
  </si>
  <si>
    <t>Kvass</t>
  </si>
  <si>
    <t>Квас</t>
  </si>
  <si>
    <t>kvas; bread drink; fermented rye drink; homemade kvass</t>
  </si>
  <si>
    <t>хлібний квас; домашній квас; живий квас</t>
  </si>
  <si>
    <t>Uzvar</t>
  </si>
  <si>
    <t>Узвар</t>
  </si>
  <si>
    <t>dried fruit compote; kompot; stewed fruit drink; uzvar</t>
  </si>
  <si>
    <t>компот з сухофруктів; різдвяний узвар; компот</t>
  </si>
  <si>
    <t>Kefir</t>
  </si>
  <si>
    <t>Кефір</t>
  </si>
  <si>
    <t>fermented milk; kefir drink; kefir 2.5%</t>
  </si>
  <si>
    <t>кефірчик; кисляк; кефір 2.5%</t>
  </si>
  <si>
    <t>Ryazhenka</t>
  </si>
  <si>
    <t>Ряжанка</t>
  </si>
  <si>
    <t>baked fermented milk; ryazhanka; fermented baked milk</t>
  </si>
  <si>
    <t>ряженка; топлене молоко кисле; ряжаночка</t>
  </si>
  <si>
    <t>Fish And Chips</t>
  </si>
  <si>
    <t>Риба з картоплею фрі</t>
  </si>
  <si>
    <t>fish &amp; chips; chippy; battered cod and chips; chippy tea</t>
  </si>
  <si>
    <t>фіш енд чіпс; смажена риба з картоплею</t>
  </si>
  <si>
    <t>Full English Breakfast</t>
  </si>
  <si>
    <t>Повний англійський сніданок</t>
  </si>
  <si>
    <t>fry-up; English breakfast; cooked breakfast; full English; fry up</t>
  </si>
  <si>
    <t>англійський сніданок; фрай-ап; повний сніданок</t>
  </si>
  <si>
    <t>Shepherd's Pie</t>
  </si>
  <si>
    <t>Пастуший пиріг</t>
  </si>
  <si>
    <t>cottage pie; shepherds pie; lamb mince pie</t>
  </si>
  <si>
    <t>котедж пай; пиріг з бараниною; картопляна запіканка</t>
  </si>
  <si>
    <t>Bangers And Mash</t>
  </si>
  <si>
    <t>Сосиски з пюре</t>
  </si>
  <si>
    <t>sausage and mash; sausages with mashed potato; bangers &amp; mash</t>
  </si>
  <si>
    <t>бенгерс енд меш; ковбаски з картопляним пюре</t>
  </si>
  <si>
    <t>Cornish Pasty</t>
  </si>
  <si>
    <t>Корнуельський пиріжок</t>
  </si>
  <si>
    <t>pasty; meat pasty; Cornish pastie</t>
  </si>
  <si>
    <t>пасті; м'ясний пиріжок; корніш пасті</t>
  </si>
  <si>
    <t>Scotch Egg</t>
  </si>
  <si>
    <t>Шотландське яйце</t>
  </si>
  <si>
    <t>scotch eggs; breaded egg; picnic egg</t>
  </si>
  <si>
    <t>яйце в м'ясі; скотч ег; паніроване яйце</t>
  </si>
  <si>
    <t>Yorkshire Pudding</t>
  </si>
  <si>
    <t>Йоркширський пудинг</t>
  </si>
  <si>
    <t>yorkie pud; Yorkshire pud; batter pudding</t>
  </si>
  <si>
    <t>йоркшир пуд; тісто-пудинг</t>
  </si>
  <si>
    <t>Beef Wellington</t>
  </si>
  <si>
    <t>Біф Веллінгтон</t>
  </si>
  <si>
    <t>Wellington; beef en croute; beef in pastry</t>
  </si>
  <si>
    <t>яловичина у тісті; м'ясо Веллінгтон</t>
  </si>
  <si>
    <t>Toad In The Hole</t>
  </si>
  <si>
    <t>Сосиски в тісті</t>
  </si>
  <si>
    <t>sausage in batter; toad-in-the-hole</t>
  </si>
  <si>
    <t>тоуд ін зе хоул; ковбаски в тісті</t>
  </si>
  <si>
    <t>Beans On Toast</t>
  </si>
  <si>
    <t>Квасоля на тості</t>
  </si>
  <si>
    <t>baked beans on toast; beans &amp; toast; beans on bread</t>
  </si>
  <si>
    <t>бінс он тоуст; квасоля з хлібом</t>
  </si>
  <si>
    <t>Jacket Potato With Beans</t>
  </si>
  <si>
    <t>Печена картопля з квасолею</t>
  </si>
  <si>
    <t>baked potato with beans; jacket spud; baked potato</t>
  </si>
  <si>
    <t>жакет потейто; картопля в мундирі; печена бульба</t>
  </si>
  <si>
    <t>Chicken Tikka Masala</t>
  </si>
  <si>
    <t>Курка тікка масала</t>
  </si>
  <si>
    <t>tikka masala; CTM; chicken tikka; curry chicken</t>
  </si>
  <si>
    <t>тікка масала; курячий каррі; індійська курка</t>
  </si>
  <si>
    <t>Sunday Roast</t>
  </si>
  <si>
    <t>Недільний обід</t>
  </si>
  <si>
    <t>roast dinner; Sunday lunch; roast carvery; Sunday roast dinner</t>
  </si>
  <si>
    <t>ростбіф; недільне запечене; роздінер</t>
  </si>
  <si>
    <t>Pork Pie</t>
  </si>
  <si>
    <t>Свинячий пиріг</t>
  </si>
  <si>
    <t>pork pie; Melton Mowbray; raised pork pie</t>
  </si>
  <si>
    <t>порк пай; пиріг зі свининою</t>
  </si>
  <si>
    <t>Haggis</t>
  </si>
  <si>
    <t>Хагіс</t>
  </si>
  <si>
    <t>Scottish haggis; haggis neeps and tatties</t>
  </si>
  <si>
    <t>шотландський хагіс; хагіс з ріпою</t>
  </si>
  <si>
    <t>Black Pudding</t>
  </si>
  <si>
    <t>Кров'яна ковбаса</t>
  </si>
  <si>
    <t>blood sausage; blood pudding; black pud</t>
  </si>
  <si>
    <t>кров'янка; блад пудинг; чорний пудинг</t>
  </si>
  <si>
    <t>Sticky Toffee Pudding</t>
  </si>
  <si>
    <t>Тофі пудинг</t>
  </si>
  <si>
    <t>toffee pudding; sticky toffee; STP; toffee cake</t>
  </si>
  <si>
    <t>стікі тофі пудинг; карамельний пудинг</t>
  </si>
  <si>
    <t>Scones</t>
  </si>
  <si>
    <t>Сконси</t>
  </si>
  <si>
    <t>scone; English scone; cream tea scone; fruit scone</t>
  </si>
  <si>
    <t>англійські сконси; сконс; булочки до чаю</t>
  </si>
  <si>
    <t>Crumpets</t>
  </si>
  <si>
    <t>Крампети</t>
  </si>
  <si>
    <t>crumpet; English crumpet; pikelets; toasting crumpet</t>
  </si>
  <si>
    <t>англійські крампети; крампет; тостові крампети</t>
  </si>
  <si>
    <t>Ploughman's Lunch</t>
  </si>
  <si>
    <t>Фермерський обід</t>
  </si>
  <si>
    <t>ploughmans; cheese and pickle; ploughman's</t>
  </si>
  <si>
    <t>плаумен; сир з маринованими овочами</t>
  </si>
  <si>
    <t>Cheeseburger</t>
  </si>
  <si>
    <t>Чізбургер</t>
  </si>
  <si>
    <t>burger; hamburger with cheese; cheese burger; quarter pounder</t>
  </si>
  <si>
    <t>бургер з сиром; гамбургер з сиром; бургер</t>
  </si>
  <si>
    <t>Hot Dog</t>
  </si>
  <si>
    <t>Хот-дог</t>
  </si>
  <si>
    <t>hotdog; frankfurter; wiener; frank; sausage in bun</t>
  </si>
  <si>
    <t>сосиска в булці; хот дог; гарячий пес</t>
  </si>
  <si>
    <t>Mac And Cheese</t>
  </si>
  <si>
    <t>Макарони з сиром</t>
  </si>
  <si>
    <t>macaroni and cheese; mac n cheese; mac &amp; cheese</t>
  </si>
  <si>
    <t>мак енд чіз; сирні макарони; паста з сиром</t>
  </si>
  <si>
    <t>BBQ Pulled Pork</t>
  </si>
  <si>
    <t>Тушена свинина BBQ</t>
  </si>
  <si>
    <t>pulled pork; BBQ pork; barbecue pulled pork; slow cooked pork</t>
  </si>
  <si>
    <t>тягнута свинина; барбекю свинина; пулд порк</t>
  </si>
  <si>
    <t>Buffalo Wings</t>
  </si>
  <si>
    <t>Крильця Баффало</t>
  </si>
  <si>
    <t>buffalo chicken wings; hot wings; chicken wings; wing night</t>
  </si>
  <si>
    <t>гострі крильця; курячі крильця; крильця у соусі</t>
  </si>
  <si>
    <t>Clam Chowder</t>
  </si>
  <si>
    <t>Суп з молюсками</t>
  </si>
  <si>
    <t>New England clam chowder; chowder; cream clam soup</t>
  </si>
  <si>
    <t>клем чаудер; вершковий суп з молюсками</t>
  </si>
  <si>
    <t>American Pancakes</t>
  </si>
  <si>
    <t>Американські млинці</t>
  </si>
  <si>
    <t>pancakes; flapjacks; hotcakes; griddle cakes; stack</t>
  </si>
  <si>
    <t>панкейки; товсті млинці; оладки американські</t>
  </si>
  <si>
    <t>PB&amp;J Sandwich</t>
  </si>
  <si>
    <t>Сендвіч з арахісовою пастою</t>
  </si>
  <si>
    <t>peanut butter and jelly; PBJ; peanut butter sandwich</t>
  </si>
  <si>
    <t>PBJ сендвіч; сендвіч з джемом і арахісом</t>
  </si>
  <si>
    <t>Meatloaf</t>
  </si>
  <si>
    <t>М'ясний рулет</t>
  </si>
  <si>
    <t>meat loaf; American meatloaf; ground beef loaf</t>
  </si>
  <si>
    <t>мітлоуф; запечений фарш; м'ясна буханка</t>
  </si>
  <si>
    <t>Caesar Salad</t>
  </si>
  <si>
    <t>Салат Цезар</t>
  </si>
  <si>
    <t>caesar; chicken caesar salad; Caesar with croutons</t>
  </si>
  <si>
    <t>цезар; курячий цезар; салат з крутонами</t>
  </si>
  <si>
    <t>Roast Turkey</t>
  </si>
  <si>
    <t>Запечена індичка</t>
  </si>
  <si>
    <t>turkey; Thanksgiving turkey; roasted turkey breast; turkey breast</t>
  </si>
  <si>
    <t>індичка; різдвяна індичка; індича грудка</t>
  </si>
  <si>
    <t>Cornbread</t>
  </si>
  <si>
    <t>Кукурудзяний хліб</t>
  </si>
  <si>
    <t>corn bread; Southern cornbread; johnnycake; corn muffin</t>
  </si>
  <si>
    <t>корнбред; кукурудзяна булка; кукурудзяний мафін</t>
  </si>
  <si>
    <t>Cobb Salad</t>
  </si>
  <si>
    <t>Салат Кобб</t>
  </si>
  <si>
    <t>cobb; Cobb salad with chicken; American Cobb</t>
  </si>
  <si>
    <t>кобб; американський кобб; салат з куркою та беконом</t>
  </si>
  <si>
    <t>Philly Cheesesteak</t>
  </si>
  <si>
    <t>Філадельфійський чізстейк</t>
  </si>
  <si>
    <t>cheesesteak; Philly steak; cheese steak sandwich; Philly</t>
  </si>
  <si>
    <t>чізстейк; філлі стейк; стейк сендвіч</t>
  </si>
  <si>
    <t>Jambalaya</t>
  </si>
  <si>
    <t>Джамбалайя</t>
  </si>
  <si>
    <t>Cajun jambalaya; Creole jambalaya; Louisiana rice dish</t>
  </si>
  <si>
    <t>каджунська джамбалайя; креольський рис</t>
  </si>
  <si>
    <t>Burrito</t>
  </si>
  <si>
    <t>Буріто</t>
  </si>
  <si>
    <t>Mexican burrito; beef burrito; bean burrito; wrap burrito</t>
  </si>
  <si>
    <t>мексиканське буріто; рол з квасолею</t>
  </si>
  <si>
    <t>Fried Chicken</t>
  </si>
  <si>
    <t>Смажена курка</t>
  </si>
  <si>
    <t>Southern fried chicken; crispy chicken; deep fried chicken; KFC</t>
  </si>
  <si>
    <t>курка фрі; хрустка курка; панірована курка</t>
  </si>
  <si>
    <t>Chicken Pot Pie</t>
  </si>
  <si>
    <t>Курячий пиріг</t>
  </si>
  <si>
    <t>pot pie; chicken pie; American chicken pie</t>
  </si>
  <si>
    <t>пот пай; курячий пиріг з овочами</t>
  </si>
  <si>
    <t>Biscuits And Gravy</t>
  </si>
  <si>
    <t>Бісквіти з підливою</t>
  </si>
  <si>
    <t>Southern biscuits; biscuits &amp; gravy; B&amp;G; sausage gravy</t>
  </si>
  <si>
    <t>бісквіти і грейві; американські бісквіти</t>
  </si>
  <si>
    <t>Grits</t>
  </si>
  <si>
    <t>Кукурудзяна каша</t>
  </si>
  <si>
    <t>Southern grits; corn grits; hominy grits; breakfast grits</t>
  </si>
  <si>
    <t>грітс; кукурудзяна крупа; мамалиґа</t>
  </si>
  <si>
    <t>Chicken Breast (Raw)</t>
  </si>
  <si>
    <t>Куряча грудка (сира)</t>
  </si>
  <si>
    <t>raw chicken breast; skinless chicken breast; chicken fillet; boneless chicken</t>
  </si>
  <si>
    <t>грудинка куряча; філе куряче; куряче філе сире</t>
  </si>
  <si>
    <t>Chicken Breast (Cooked)</t>
  </si>
  <si>
    <t>Куряча грудка (готова)</t>
  </si>
  <si>
    <t>grilled chicken breast; baked chicken breast; cooked chicken; pan-fried chicken</t>
  </si>
  <si>
    <t>грудка запечена; куряче філе готове; грудка гриль</t>
  </si>
  <si>
    <t>Chicken Thigh (Raw)</t>
  </si>
  <si>
    <t>Куряче стегно (сире)</t>
  </si>
  <si>
    <t>raw chicken thigh; bone-in thigh; dark meat chicken; chicken leg</t>
  </si>
  <si>
    <t>стегенце куряче; куряча ніжка; темне м'ясо</t>
  </si>
  <si>
    <t>Turkey Breast (Cooked)</t>
  </si>
  <si>
    <t>Індича грудка (готова)</t>
  </si>
  <si>
    <t>cooked turkey; roast turkey breast; deli turkey; sliced turkey</t>
  </si>
  <si>
    <t>індичка відварна; індиче філе; грудка індички</t>
  </si>
  <si>
    <t>Beef Mince (Raw 15%)</t>
  </si>
  <si>
    <t>Яловичий фарш (сирий 15%)</t>
  </si>
  <si>
    <t>ground beef; minced beef; hamburger meat; beef mince 15% fat</t>
  </si>
  <si>
    <t>мелена яловичина; фарш яловичий; м'ясний фарш</t>
  </si>
  <si>
    <t>Beef Steak (Raw)</t>
  </si>
  <si>
    <t>Яловичий стейк (сирий)</t>
  </si>
  <si>
    <t>sirloin; ribeye; steak; beef sirloin; rump steak; fillet steak</t>
  </si>
  <si>
    <t>стейк; яловичина; філе яловичини; вирізка</t>
  </si>
  <si>
    <t>Pork Chop (Cooked)</t>
  </si>
  <si>
    <t>Свиняча відбивна (готова)</t>
  </si>
  <si>
    <t>cooked pork chop; grilled pork chop; pork loin chop</t>
  </si>
  <si>
    <t>відбивна; свиняча котлета; свиняча корейка</t>
  </si>
  <si>
    <t>Lamb (Cooked)</t>
  </si>
  <si>
    <t>Баранина (готова)</t>
  </si>
  <si>
    <t>roast lamb; grilled lamb; lamb leg; lamb shoulder</t>
  </si>
  <si>
    <t>ягнятина; баранина запечена; баранина гриль</t>
  </si>
  <si>
    <t>Bacon (Cooked)</t>
  </si>
  <si>
    <t>Бекон (смажений)</t>
  </si>
  <si>
    <t>fried bacon; crispy bacon; streaky bacon; rashers; back bacon</t>
  </si>
  <si>
    <t>бекон; шпик смажений; бекон хрусткий</t>
  </si>
  <si>
    <t>Pork Sausage</t>
  </si>
  <si>
    <t>Свиняча ковбаска</t>
  </si>
  <si>
    <t>breakfast sausage; pork link; banger; Cumberland sausage</t>
  </si>
  <si>
    <t>ковбаски; сардельки; ковбаска для сніданку</t>
  </si>
  <si>
    <t>Salmon (Raw)</t>
  </si>
  <si>
    <t>Лосось (сирий)</t>
  </si>
  <si>
    <t>raw salmon; Atlantic salmon; salmon fillet; fresh salmon</t>
  </si>
  <si>
    <t>сьомга; лосось філе; червона риба; форель</t>
  </si>
  <si>
    <t>Tuna (Canned In Water)</t>
  </si>
  <si>
    <t>Тунець (консервований)</t>
  </si>
  <si>
    <t>tinned tuna; canned tuna; tuna in spring water; chunk tuna</t>
  </si>
  <si>
    <t>тунець у воді; консерва тунець; баночний тунець</t>
  </si>
  <si>
    <t>Cod (Cooked)</t>
  </si>
  <si>
    <t>Тріска (готова)</t>
  </si>
  <si>
    <t>white fish; baked cod; grilled cod; haddock; pollock</t>
  </si>
  <si>
    <t>біла риба; тріска запечена; хек; минтай</t>
  </si>
  <si>
    <t>Shrimp (Cooked)</t>
  </si>
  <si>
    <t>Креветки (готові)</t>
  </si>
  <si>
    <t>prawns; cooked prawns; king prawns; shrimp boiled</t>
  </si>
  <si>
    <t>креветки відварні; морські креветки; гарнели</t>
  </si>
  <si>
    <t>Eggs (Whole)</t>
  </si>
  <si>
    <t>Яйця (цілі)</t>
  </si>
  <si>
    <t>egg; chicken egg; raw egg; whole egg; boiled egg</t>
  </si>
  <si>
    <t>яйце; куряче яйце; варене яйце; сире яйце</t>
  </si>
  <si>
    <t>Egg Whites</t>
  </si>
  <si>
    <t>Яєчні білки</t>
  </si>
  <si>
    <t>egg white; albumen; liquid egg whites; egg whites only</t>
  </si>
  <si>
    <t>білок яєчний; рідкий білок; білки</t>
  </si>
  <si>
    <t>Tofu</t>
  </si>
  <si>
    <t>Тофу</t>
  </si>
  <si>
    <t>bean curd; soybean curd; firm tofu; silken tofu</t>
  </si>
  <si>
    <t>соєвий сир; бобовий сир; тверде тофу</t>
  </si>
  <si>
    <t>White Rice (Cooked)</t>
  </si>
  <si>
    <t>Білий рис (варений)</t>
  </si>
  <si>
    <t>cooked rice; steamed rice; boiled rice; jasmine rice; basmati cooked</t>
  </si>
  <si>
    <t>рис відварний; рис на пару; жасминовий рис</t>
  </si>
  <si>
    <t>Brown Rice (Cooked)</t>
  </si>
  <si>
    <t>Коричневий рис (варений)</t>
  </si>
  <si>
    <t>cooked brown rice; whole grain rice; wholegrain rice; brown basmati</t>
  </si>
  <si>
    <t>бурий рис; цільнозерновий рис; нешліфований рис</t>
  </si>
  <si>
    <t>Oats (Dry)</t>
  </si>
  <si>
    <t>Вівсянка (суха)</t>
  </si>
  <si>
    <t>oatmeal; porridge oats; rolled oats; dry oats; steel cut oats</t>
  </si>
  <si>
    <t>вівсяні пластівці; геркулес; вівсяна каша суха</t>
  </si>
  <si>
    <t>Pasta (Cooked)</t>
  </si>
  <si>
    <t>Макарони (варені)</t>
  </si>
  <si>
    <t>cooked pasta; boiled spaghetti; cooked penne; noodles; fusilli</t>
  </si>
  <si>
    <t>паста; спагеті; пене; вермішель; локшина</t>
  </si>
  <si>
    <t>White Bread</t>
  </si>
  <si>
    <t>Білий хліб</t>
  </si>
  <si>
    <t>bread; sliced white bread; sandwich bread; toast bread; loaf</t>
  </si>
  <si>
    <t>хліб; батон; білий батон; тостовий хліб; нарізний</t>
  </si>
  <si>
    <t>Whole Wheat Bread</t>
  </si>
  <si>
    <t>Цільнозерновий хліб</t>
  </si>
  <si>
    <t>wholemeal bread; brown bread; whole grain bread; granary bread</t>
  </si>
  <si>
    <t>чорний хліб; житній хліб; хліб з висівками</t>
  </si>
  <si>
    <t>Potato (Boiled)</t>
  </si>
  <si>
    <t>Картопля (варена)</t>
  </si>
  <si>
    <t>boiled potato; mashed potato base; cooked potato; jacket potato plain</t>
  </si>
  <si>
    <t>бульба; відварна картопля; картопляне пюре</t>
  </si>
  <si>
    <t>Sweet Potato (Baked)</t>
  </si>
  <si>
    <t>Батат (печений)</t>
  </si>
  <si>
    <t>baked sweet potato; yam; roasted sweet potato; sweet potato fries base</t>
  </si>
  <si>
    <t>солодка картопля; ямс; батат запечений</t>
  </si>
  <si>
    <t>Quinoa (Cooked)</t>
  </si>
  <si>
    <t>Кіноа (варена)</t>
  </si>
  <si>
    <t>cooked quinoa; boiled quinoa; quinoa grain; quinoa salad base</t>
  </si>
  <si>
    <t>кіноа; квіноа; кінва</t>
  </si>
  <si>
    <t>Lentils (Cooked)</t>
  </si>
  <si>
    <t>Сочевиця (варена)</t>
  </si>
  <si>
    <t>cooked lentils; boiled lentils; red lentils; dal; green lentils</t>
  </si>
  <si>
    <t>червона сочевиця; зелена сочевиця; дал</t>
  </si>
  <si>
    <t>Chickpeas (Cooked)</t>
  </si>
  <si>
    <t>Нут (варений)</t>
  </si>
  <si>
    <t>garbanzo beans; cooked chickpeas; canned chickpeas; hummus base</t>
  </si>
  <si>
    <t>хумус основа; турецький горох; нут відварний</t>
  </si>
  <si>
    <t>Couscous (Cooked)</t>
  </si>
  <si>
    <t>Кускус (варений)</t>
  </si>
  <si>
    <t>cooked couscous; steamed couscous; pearl couscous</t>
  </si>
  <si>
    <t>кус-кус; перлинний кускус</t>
  </si>
  <si>
    <t>Whole Milk</t>
  </si>
  <si>
    <t>Молоко незбиране</t>
  </si>
  <si>
    <t>full fat milk; full cream milk; cow's milk 3.5%; regular milk</t>
  </si>
  <si>
    <t>молоко 3.5%; домашнє молоко; коров'яче молоко</t>
  </si>
  <si>
    <t>Skimmed Milk</t>
  </si>
  <si>
    <t>Знежирене молоко</t>
  </si>
  <si>
    <t>skim milk; fat-free milk; non-fat milk; 0% milk; skimmed</t>
  </si>
  <si>
    <t>молоко 0%; обезжирене молоко; нежирне молоко</t>
  </si>
  <si>
    <t>Greek Yogurt (Full Fat)</t>
  </si>
  <si>
    <t>Грецький йогурт (жирний)</t>
  </si>
  <si>
    <t>full fat Greek yogurt; Greek style yogurt; strained yogurt</t>
  </si>
  <si>
    <t>грецький йогурт; густий йогурт; страчателла</t>
  </si>
  <si>
    <t>Greek Yogurt (0% Fat)</t>
  </si>
  <si>
    <t>Грецький йогурт (0% жиру)</t>
  </si>
  <si>
    <t>fat-free Greek yogurt; non-fat Greek yogurt; 0% Greek; diet yogurt</t>
  </si>
  <si>
    <t>нежирний йогурт; дієтичний йогурт; йогурт 0%</t>
  </si>
  <si>
    <t>Cottage Cheese (Low Fat)</t>
  </si>
  <si>
    <t>Сир кисломолочний (нежирний)</t>
  </si>
  <si>
    <t>low fat cottage cheese; diet cottage cheese; 2% cottage cheese</t>
  </si>
  <si>
    <t>нежирний сир; дієтичний сир; сир 2%</t>
  </si>
  <si>
    <t>Cheddar Cheese</t>
  </si>
  <si>
    <t>Сир Чеддер</t>
  </si>
  <si>
    <t>cheddar; mature cheddar; mild cheddar; hard cheese; block cheese</t>
  </si>
  <si>
    <t>чеддер; твердий сир; зрілий сир</t>
  </si>
  <si>
    <t>Mozzarella</t>
  </si>
  <si>
    <t>Моцарела</t>
  </si>
  <si>
    <t>mozzarella cheese; pizza cheese; fresh mozzarella; buffalo mozzarella</t>
  </si>
  <si>
    <t>моцарела; сир для піци; буффало моцарела</t>
  </si>
  <si>
    <t>Butter</t>
  </si>
  <si>
    <t>Вершкове масло</t>
  </si>
  <si>
    <t>salted butter; unsalted butter; dairy butter; block butter</t>
  </si>
  <si>
    <t>масло; солоне масло; несолоне масло</t>
  </si>
  <si>
    <t>Cream Cheese</t>
  </si>
  <si>
    <t>Вершковий сир</t>
  </si>
  <si>
    <t>Philadelphia; soft cheese; cream cheese spread; philly</t>
  </si>
  <si>
    <t>філадельфія; м'який сир; крем-сир</t>
  </si>
  <si>
    <t>Banana</t>
  </si>
  <si>
    <t>Банан</t>
  </si>
  <si>
    <t>bananas; ripe banana; yellow banana; plantain (ripe)</t>
  </si>
  <si>
    <t>банани; жовтий банан; стиглий банан</t>
  </si>
  <si>
    <t>Apple</t>
  </si>
  <si>
    <t>Яблуко</t>
  </si>
  <si>
    <t>apples; green apple; red apple; Granny Smith; Gala apple</t>
  </si>
  <si>
    <t>яблука; зелене яблуко; червоне яблуко</t>
  </si>
  <si>
    <t>Avocado</t>
  </si>
  <si>
    <t>Авокадо</t>
  </si>
  <si>
    <t>avocados; Hass avocado; avocado flesh; guac base</t>
  </si>
  <si>
    <t>авокадо; гуакамоле основа</t>
  </si>
  <si>
    <t>Strawberries</t>
  </si>
  <si>
    <t>Полуниця</t>
  </si>
  <si>
    <t>strawberry; fresh strawberries; berries; garden strawberry</t>
  </si>
  <si>
    <t>полуничка; суниця; свіжа полуниця</t>
  </si>
  <si>
    <t>Watermelon</t>
  </si>
  <si>
    <t>Кавун</t>
  </si>
  <si>
    <t>water melon; melon; summer melon; red melon</t>
  </si>
  <si>
    <t>кавуни; літній кавун; арбуз</t>
  </si>
  <si>
    <t>Grapefruit</t>
  </si>
  <si>
    <t>Грейпфрут</t>
  </si>
  <si>
    <t>pink grapefruit; ruby grapefruit; citrus grapefruit</t>
  </si>
  <si>
    <t>грейпфрути; рожевий грейпфрут; цитрус</t>
  </si>
  <si>
    <t>Blueberries</t>
  </si>
  <si>
    <t>Чорниця</t>
  </si>
  <si>
    <t>blueberry; fresh blueberries; wild blueberries; bilberry</t>
  </si>
  <si>
    <t>лохина; свіжа чорниця; ягоди чорниці</t>
  </si>
  <si>
    <t>Orange</t>
  </si>
  <si>
    <t>Апельсин</t>
  </si>
  <si>
    <t>oranges; navel orange; citrus orange; mandarin</t>
  </si>
  <si>
    <t>апельсини; цитрус; мандарин</t>
  </si>
  <si>
    <t>Broccoli (Cooked)</t>
  </si>
  <si>
    <t>Брокколі (варене)</t>
  </si>
  <si>
    <t>steamed broccoli; boiled broccoli; broccoli florets</t>
  </si>
  <si>
    <t>брокколі на пару; брокколі відварне</t>
  </si>
  <si>
    <t>Spinach (Raw)</t>
  </si>
  <si>
    <t>Шпинат (сирий)</t>
  </si>
  <si>
    <t>baby spinach; fresh spinach; spinach leaves; salad spinach</t>
  </si>
  <si>
    <t>свіжий шпинат; листя шпинату; бебі шпинат</t>
  </si>
  <si>
    <t>Cauliflower Rice</t>
  </si>
  <si>
    <t>Рис з цвітної капусти</t>
  </si>
  <si>
    <t>riced cauliflower; cauliflower couscous; cauli rice; low-carb rice</t>
  </si>
  <si>
    <t>рис із цвітної капусти; кето рис; замінник рису</t>
  </si>
  <si>
    <t>Zucchini</t>
  </si>
  <si>
    <t>Кабачок</t>
  </si>
  <si>
    <t>courgette; zucchini squash; summer squash; marrow</t>
  </si>
  <si>
    <t>цукіні; кабачки; літній кабачок</t>
  </si>
  <si>
    <t>Tomato</t>
  </si>
  <si>
    <t>Помідор</t>
  </si>
  <si>
    <t>tomatoes; fresh tomato; raw tomato; vine tomato; cherry tomato</t>
  </si>
  <si>
    <t>томат; помідори; помідорка; черрі</t>
  </si>
  <si>
    <t>Cucumber</t>
  </si>
  <si>
    <t>Огірок</t>
  </si>
  <si>
    <t>cucumbers; English cucumber; salad cucumber; baby cucumber</t>
  </si>
  <si>
    <t>огірки; свіжий огірок; малосольний огірок</t>
  </si>
  <si>
    <t>Celery</t>
  </si>
  <si>
    <t>Селера</t>
  </si>
  <si>
    <t>celery stalks; celery sticks; raw celery; celery hearts</t>
  </si>
  <si>
    <t>стеблова селера; селера стебла; свіжа селера</t>
  </si>
  <si>
    <t>Mixed Greens</t>
  </si>
  <si>
    <t>Мікс зелені</t>
  </si>
  <si>
    <t>salad mix; lettuce; mixed salad leaves; mesclun; rocket</t>
  </si>
  <si>
    <t>салат; салатне листя; руккола; мікс салат</t>
  </si>
  <si>
    <t>Bell Pepper</t>
  </si>
  <si>
    <t>Солодкий перець</t>
  </si>
  <si>
    <t>capsicum; sweet pepper; red pepper; green pepper; paprika fresh</t>
  </si>
  <si>
    <t>болгарський перець; паприка; червоний перець</t>
  </si>
  <si>
    <t>Carrots (Raw)</t>
  </si>
  <si>
    <t>Морква (сира)</t>
  </si>
  <si>
    <t>raw carrots; carrot sticks; baby carrots; grated carrot</t>
  </si>
  <si>
    <t>морквина; сира морква; морква тертая; бебі морква</t>
  </si>
  <si>
    <t>Whey Protein Powder</t>
  </si>
  <si>
    <t>Сироватковий протеїн</t>
  </si>
  <si>
    <t>whey protein; protein powder; whey isolate; protein shake powder; WPI</t>
  </si>
  <si>
    <t>вей протеїн; протеїновий порошок; ізолят; WPI</t>
  </si>
  <si>
    <t>Mass Gainer Powder</t>
  </si>
  <si>
    <t>Гейнер</t>
  </si>
  <si>
    <t>mass gainer; weight gainer; mass gainer shake; bulking powder; serious mass</t>
  </si>
  <si>
    <t>мас гейнер; порошок для набору; гейнер для маси</t>
  </si>
  <si>
    <t>Peanut Butter</t>
  </si>
  <si>
    <t>Арахісова паста</t>
  </si>
  <si>
    <t>PB; peanut spread; crunchy peanut butter; smooth peanut butter; nut butter</t>
  </si>
  <si>
    <t>арахісове масло; горіхова паста; паста арахіс</t>
  </si>
  <si>
    <t>Almond Butter</t>
  </si>
  <si>
    <t>Мигдальна паста</t>
  </si>
  <si>
    <t>almond spread; almond nut butter; almond paste</t>
  </si>
  <si>
    <t>мигдальне масло; паста з мигдалю</t>
  </si>
  <si>
    <t>Granola</t>
  </si>
  <si>
    <t>Гранола</t>
  </si>
  <si>
    <t>granola cereal; crunchy granola; granola clusters; muesli crunchy</t>
  </si>
  <si>
    <t>мюслі хрусткі; гранола з горіхами; кранчі</t>
  </si>
  <si>
    <t>Trail Mix</t>
  </si>
  <si>
    <t>Горіхово-фруктова суміш</t>
  </si>
  <si>
    <t>nut mix; trail mix nuts; GORP; mixed nuts and dried fruit; snack mix</t>
  </si>
  <si>
    <t>трейл мікс; суміш горіхів; горіхи з сухофруктами</t>
  </si>
  <si>
    <t>Dates (Dried)</t>
  </si>
  <si>
    <t>Фініки (сушені)</t>
  </si>
  <si>
    <t>medjool dates; dried dates; deglet noor; date fruit; date snack</t>
  </si>
  <si>
    <t>фінік; сушений фінік; меджул; деглет</t>
  </si>
  <si>
    <t>Dark Chocolate 70%</t>
  </si>
  <si>
    <t>Чорний шоколад 70%</t>
  </si>
  <si>
    <t>dark choc; 70% cocoa chocolate; plain chocolate; bittersweet</t>
  </si>
  <si>
    <t>темний шоколад; гіркий шоколад; шоколад 70%</t>
  </si>
  <si>
    <t>Cashews</t>
  </si>
  <si>
    <t>Кеш'ю</t>
  </si>
  <si>
    <t>cashew nuts; raw cashews; roasted cashews; salted cashews</t>
  </si>
  <si>
    <t>кешʼю; горіх кеш'ю; смажений кеш'ю</t>
  </si>
  <si>
    <t>Walnuts</t>
  </si>
  <si>
    <t>Волоські горіхи</t>
  </si>
  <si>
    <t>walnut halves; English walnuts; chopped walnuts</t>
  </si>
  <si>
    <t>грецькі горіхи; горіх волоський</t>
  </si>
  <si>
    <t>Olive Oil</t>
  </si>
  <si>
    <t>Оливкова олія</t>
  </si>
  <si>
    <t>extra virgin olive oil; EVOO; cooking oil olive; salad oil</t>
  </si>
  <si>
    <t>олія оливкова; EVOO; олія для салату</t>
  </si>
  <si>
    <t>Coconut Oil</t>
  </si>
  <si>
    <t>Кокосова олія</t>
  </si>
  <si>
    <t>virgin coconut oil; cooking coconut oil; coconut fat</t>
  </si>
  <si>
    <t>олія кокосова; кокосовий жир</t>
  </si>
  <si>
    <t>Honey</t>
  </si>
  <si>
    <t>Мед</t>
  </si>
  <si>
    <t>raw honey; pure honey; natural honey; bee honey; manuka honey</t>
  </si>
  <si>
    <t>натуральний мед; бджолиний мед; квітковий мед</t>
  </si>
  <si>
    <t>Protein Bar</t>
  </si>
  <si>
    <t>Протеїновий батончик</t>
  </si>
  <si>
    <t>protein bar; energy bar; protein snack bar; sports bar; quest bar</t>
  </si>
  <si>
    <t>протеїн бар; енергетичний батончик; спортивний батончик</t>
  </si>
  <si>
    <t>Rice Cakes</t>
  </si>
  <si>
    <t>Рисові хлібці</t>
  </si>
  <si>
    <t>rice cake; puffed rice cake; rice crackers; diet snack rice</t>
  </si>
  <si>
    <t>рисовий хлібець; дієтичні хлібці; хлібець рисовий</t>
  </si>
  <si>
    <t>Zucchini Noodles</t>
  </si>
  <si>
    <t>Локшина з кабачків</t>
  </si>
  <si>
    <t>zoodles; courgette noodles; spiralized zucchini; zucchini pasta</t>
  </si>
  <si>
    <t>зудлз; спіралізований кабачок; кабачкова локшина</t>
  </si>
  <si>
    <t>Green Tea</t>
  </si>
  <si>
    <t>Зелений чай</t>
  </si>
  <si>
    <t>matcha; green tea brewed; sencha; diet tea; calorie-free tea</t>
  </si>
  <si>
    <t>матча; зелений чай листовий; сенча</t>
  </si>
  <si>
    <t>Black Coffee</t>
  </si>
  <si>
    <t>Чорна кава</t>
  </si>
  <si>
    <t>coffee; espresso; Americano; drip coffee; long black</t>
  </si>
  <si>
    <t>кава; еспресо; американо; крапельна кава</t>
  </si>
  <si>
    <t>Berries Mix</t>
  </si>
  <si>
    <t>Ягідний мікс</t>
  </si>
  <si>
    <t>mixed berries; berry blend; strawberry blueberry mix; antioxidant berries</t>
  </si>
  <si>
    <t>мікс ягід; суміш ягід; полуниця-чорниця</t>
  </si>
  <si>
    <t>Tempeh</t>
  </si>
  <si>
    <t>Темпе</t>
  </si>
  <si>
    <t>fermented soybean; soy tempeh; plant protein block</t>
  </si>
  <si>
    <t>соєвий темпе; ферментована соя; рослинний білок</t>
  </si>
  <si>
    <t>Seitan</t>
  </si>
  <si>
    <t>Сейтан</t>
  </si>
  <si>
    <t>wheat gluten; wheat meat; mock duck; vital wheat gluten</t>
  </si>
  <si>
    <t>пшеничний глютен; рослинне м'ясо; сейтан білковий</t>
  </si>
  <si>
    <t>Sardines (Canned)</t>
  </si>
  <si>
    <t>Сардини (консервовані)</t>
  </si>
  <si>
    <t>tinned sardines; canned sardines in oil; pilchards</t>
  </si>
  <si>
    <t>сардинки; консерва сардини; шпроти</t>
  </si>
  <si>
    <t>Mackerel (Canned)</t>
  </si>
  <si>
    <t>Скумбрія (консервована)</t>
  </si>
  <si>
    <t>tinned mackerel; canned mackerel; smoked mackerel</t>
  </si>
  <si>
    <t>скумбрія консерва; макрель; копчена скумбрія</t>
  </si>
  <si>
    <t>Herring (Smoked)</t>
  </si>
  <si>
    <t>Оселедець (копчений)</t>
  </si>
  <si>
    <t>smoked herring; kipper; bloater; pickled herring</t>
  </si>
  <si>
    <t>оселедець; кіпер; копчений оселедець; солоний оселедець</t>
  </si>
  <si>
    <t>Duck Breast (Cooked)</t>
  </si>
  <si>
    <t>Качина грудка (готова)</t>
  </si>
  <si>
    <t>roast duck; duck fillet; pan-seared duck breast</t>
  </si>
  <si>
    <t>качка запечена; філе качки; качина грудка гриль</t>
  </si>
  <si>
    <t>Bison (Ground Cooked)</t>
  </si>
  <si>
    <t>Бізон (фарш готовий)</t>
  </si>
  <si>
    <t>buffalo meat; ground bison; bison mince</t>
  </si>
  <si>
    <t>м'ясо бізона; фарш бізона; буйволове м'ясо</t>
  </si>
  <si>
    <t>Venison (Cooked)</t>
  </si>
  <si>
    <t>Оленина (готова)</t>
  </si>
  <si>
    <t>deer meat; cooked venison; venison steak</t>
  </si>
  <si>
    <t>оленяче м'ясо; оленина запечена; стейк з оленини</t>
  </si>
  <si>
    <t>Tortilla (Flour)</t>
  </si>
  <si>
    <t>Тортилья (пшенична)</t>
  </si>
  <si>
    <t>flour tortilla; wrap; burrito shell; soft tortilla</t>
  </si>
  <si>
    <t>лаваш; тортилья; рол обгортка</t>
  </si>
  <si>
    <t>Bagel (Plain)</t>
  </si>
  <si>
    <t>Бейгл (простий)</t>
  </si>
  <si>
    <t>plain bagel; bread bagel; breakfast bagel</t>
  </si>
  <si>
    <t>бейгл; бублик; хлібний бейгл</t>
  </si>
  <si>
    <t>Muesli (No Added Sugar)</t>
  </si>
  <si>
    <t>Мюслі (без цукру)</t>
  </si>
  <si>
    <t>unsweetened muesli; bircher muesli base; rolled oat muesli</t>
  </si>
  <si>
    <t>мюслі без цукру; натуральні мюслі; вівсяні мюслі</t>
  </si>
  <si>
    <t>Parmesan Cheese</t>
  </si>
  <si>
    <t>Пармезан</t>
  </si>
  <si>
    <t>parmigiano; grated parmesan; hard Italian cheese</t>
  </si>
  <si>
    <t>пармезан; пармезано; тертий пармезан</t>
  </si>
  <si>
    <t>Feta Cheese</t>
  </si>
  <si>
    <t>Сир фета</t>
  </si>
  <si>
    <t>feta; Greek feta; sheep feta; salad cheese</t>
  </si>
  <si>
    <t>фета; грецький сир; овечий сир; сир для салату</t>
  </si>
  <si>
    <t>Ricotta Cheese</t>
  </si>
  <si>
    <t>Рікотта</t>
  </si>
  <si>
    <t>ricotta; Italian soft cheese; whey cheese</t>
  </si>
  <si>
    <t>рікотта; м'який італійський сир; сирковий сир</t>
  </si>
  <si>
    <t>Almonds</t>
  </si>
  <si>
    <t>Мигдаль</t>
  </si>
  <si>
    <t>raw almonds; roasted almonds; whole almonds; almond nuts</t>
  </si>
  <si>
    <t>мигдаль; смажений мигдаль; горіх мигдаль</t>
  </si>
  <si>
    <t>Pistachios</t>
  </si>
  <si>
    <t>Фісташки</t>
  </si>
  <si>
    <t>pistachio nuts; roasted pistachios; salted pistachios</t>
  </si>
  <si>
    <t>фісташки; смажені фісташки; горіхи фісташки</t>
  </si>
  <si>
    <t>Pecans</t>
  </si>
  <si>
    <t>Пекан</t>
  </si>
  <si>
    <t>pecan nuts; raw pecans; halved pecans</t>
  </si>
  <si>
    <t>пекан; горіх пекан; сирий пекан</t>
  </si>
  <si>
    <t>Macadamia Nuts</t>
  </si>
  <si>
    <t>Макадамія</t>
  </si>
  <si>
    <t>macadamia; raw macadamia; roasted macadamia</t>
  </si>
  <si>
    <t>горіх макадамія; макадамія смажена</t>
  </si>
  <si>
    <t>Hazelnuts</t>
  </si>
  <si>
    <t>Фундук</t>
  </si>
  <si>
    <t>hazels; filberts; cobnut; roasted hazelnuts</t>
  </si>
  <si>
    <t>ліщина; лісовий горіх; смажений фундук</t>
  </si>
  <si>
    <t>Chia Seeds</t>
  </si>
  <si>
    <t>Насіння чіа</t>
  </si>
  <si>
    <t>chia; chia seed; chia pudding base</t>
  </si>
  <si>
    <t>чіа; чіа насіння; основа для чіа пудингу</t>
  </si>
  <si>
    <t>Flaxseeds</t>
  </si>
  <si>
    <t>Насіння льону</t>
  </si>
  <si>
    <t>linseed; flax seed; ground flaxseed; milled linseed</t>
  </si>
  <si>
    <t>лляне насіння; насіння льону; мелене лляне</t>
  </si>
  <si>
    <t>Sunflower Seeds</t>
  </si>
  <si>
    <t>Насіння соняшнику</t>
  </si>
  <si>
    <t>sunflower kernels; shelled sunflower seeds; roasted seeds</t>
  </si>
  <si>
    <t>сім'ячки; насіння соняху; лущені сім'ячки</t>
  </si>
  <si>
    <t>Pumpkin Seeds</t>
  </si>
  <si>
    <t>Гарбузове насіння</t>
  </si>
  <si>
    <t>pepitas; pumpkin kernels; roasted pumpkin seeds</t>
  </si>
  <si>
    <t>гарбузове насіння; пепітас; смажене гарбузове</t>
  </si>
  <si>
    <t>Hemp Seeds</t>
  </si>
  <si>
    <t>Насіння конопель</t>
  </si>
  <si>
    <t>hemp hearts; shelled hemp seed; hemp protein source</t>
  </si>
  <si>
    <t>конопляне насіння; конопляні серця</t>
  </si>
  <si>
    <t>Coconut (Desiccated)</t>
  </si>
  <si>
    <t>Кокос (сушений)</t>
  </si>
  <si>
    <t>dried coconut; shredded coconut; coconut flakes</t>
  </si>
  <si>
    <t>сушений кокос; кокосова стружка; кокосові пластівці</t>
  </si>
  <si>
    <t>Raisins</t>
  </si>
  <si>
    <t>Родзинки</t>
  </si>
  <si>
    <t>dried grapes; sultanas; currants; golden raisins</t>
  </si>
  <si>
    <t>ізюм; сушений виноград; кишмиш</t>
  </si>
  <si>
    <t>Dried Apricots</t>
  </si>
  <si>
    <t>Курага</t>
  </si>
  <si>
    <t>apricot dried; dried apricot halves; Turkish apricots</t>
  </si>
  <si>
    <t>курага; сушений абрикос; абрикоси сушені</t>
  </si>
  <si>
    <t>Dried Cranberries</t>
  </si>
  <si>
    <t>Журавлина сушена</t>
  </si>
  <si>
    <t>craisins; dried cranberry; cranberry raisins</t>
  </si>
  <si>
    <t>журавлина; сушена журавлина; крейзінс</t>
  </si>
  <si>
    <t>Tilapia (Cooked)</t>
  </si>
  <si>
    <t>Тілапія (готова)</t>
  </si>
  <si>
    <t>white tilapia; baked tilapia; grilled tilapia; tilapia fillet</t>
  </si>
  <si>
    <t>тілапія запечена; тілапія гриль; філе тілапії</t>
  </si>
  <si>
    <t>Haddock (Cooked)</t>
  </si>
  <si>
    <t>Пікша (готова)</t>
  </si>
  <si>
    <t>smoked haddock; baked haddock; finnan haddie</t>
  </si>
  <si>
    <t>копчена пікша; запечена пікша; пікша філе</t>
  </si>
  <si>
    <t>Turkey Mince (Cooked)</t>
  </si>
  <si>
    <t>Індичий фарш (готовий)</t>
  </si>
  <si>
    <t>ground turkey; minced turkey; lean turkey mince</t>
  </si>
  <si>
    <t>фарш індичий; мелена індичка; пісний фарш індички</t>
  </si>
  <si>
    <t>Crab Meat (Cooked)</t>
  </si>
  <si>
    <t>Крабове м'ясо (готове)</t>
  </si>
  <si>
    <t>crabmeat; crab; dressed crab; white crab meat</t>
  </si>
  <si>
    <t>крабове м'ясо; краб; біле м'ясо краба</t>
  </si>
  <si>
    <t>Scallops (Cooked)</t>
  </si>
  <si>
    <t>Гребінці (готові)</t>
  </si>
  <si>
    <t>sea scallops; pan-seared scallops; king scallops</t>
  </si>
  <si>
    <t>морські гребінці; смажені гребінці</t>
  </si>
  <si>
    <t>Mussels (Cooked)</t>
  </si>
  <si>
    <t>Мідії (готові)</t>
  </si>
  <si>
    <t>steamed mussels; blue mussels; mussel meat</t>
  </si>
  <si>
    <t>мідії на пару; мідії варені; м'ясо мідій</t>
  </si>
  <si>
    <t>Edamame</t>
  </si>
  <si>
    <t>Едамаме</t>
  </si>
  <si>
    <t>soy beans; green soybeans; boiled edamame; shelled edamame</t>
  </si>
  <si>
    <t>соєві боби; зелена соя; варені едамаме</t>
  </si>
  <si>
    <t>Black Beans (Cooked)</t>
  </si>
  <si>
    <t>Чорна квасоля (варена)</t>
  </si>
  <si>
    <t>cooked black beans; frijoles negros; black turtle beans</t>
  </si>
  <si>
    <t>чорна квасоля; фрихолес; варена квасоля чорна</t>
  </si>
  <si>
    <t>Kidney Beans (Cooked)</t>
  </si>
  <si>
    <t>Червона квасоля (варена)</t>
  </si>
  <si>
    <t>cooked kidney beans; red beans; rajma</t>
  </si>
  <si>
    <t>червона квасоля варена; раджма; квасоля</t>
  </si>
  <si>
    <t>Asparagus (Cooked)</t>
  </si>
  <si>
    <t>Спаржа (варена)</t>
  </si>
  <si>
    <t>steamed asparagus; grilled asparagus; asparagus tips</t>
  </si>
  <si>
    <t>спаржа на пару; спаржа гриль; верхівки спаржі</t>
  </si>
  <si>
    <t>Kale (Raw)</t>
  </si>
  <si>
    <t>Капуста кейл (сира)</t>
  </si>
  <si>
    <t>kale; curly kale; lacinato kale; dinosaur kale</t>
  </si>
  <si>
    <t>кейл; кудрява капуста; лацинато кейл</t>
  </si>
  <si>
    <t>Mushrooms (Raw)</t>
  </si>
  <si>
    <t>Гриби (сирі)</t>
  </si>
  <si>
    <t>white mushroom; button mushroom; cremini; champignon</t>
  </si>
  <si>
    <t>печериці; шампіньйони; білі гриби; кремні</t>
  </si>
  <si>
    <t>Green Beans (Cooked)</t>
  </si>
  <si>
    <t>Зелена квасоля (варена)</t>
  </si>
  <si>
    <t>string beans; French beans; runner beans; haricots verts</t>
  </si>
  <si>
    <t>стручкова квасоля; зелена квасоля; спаржева квасоля</t>
  </si>
  <si>
    <t>Cabbage (Raw)</t>
  </si>
  <si>
    <t>Капуста (сира)</t>
  </si>
  <si>
    <t>white cabbage; green cabbage; raw cabbage; shredded cabbage</t>
  </si>
  <si>
    <t>білокачанна капуста; зелена капуста; нашинкована капуста</t>
  </si>
  <si>
    <t>Brussels Sprouts (Cooked)</t>
  </si>
  <si>
    <t>Брюссельська капуста (варена)</t>
  </si>
  <si>
    <t>steamed Brussels sprouts; roasted sprouts; baby cabbages</t>
  </si>
  <si>
    <t>брюссельська капуста; капуста варена; ростки</t>
  </si>
  <si>
    <t>Pear</t>
  </si>
  <si>
    <t>Груша</t>
  </si>
  <si>
    <t>pears; green pear; conference pear; Bartlett pear</t>
  </si>
  <si>
    <t>груші; зелена груша; конференція</t>
  </si>
  <si>
    <t>Kiwi</t>
  </si>
  <si>
    <t>Ківі</t>
  </si>
  <si>
    <t>kiwi fruit; green kiwi; gold kiwi; Chinese gooseberry</t>
  </si>
  <si>
    <t>ківі; зелений ківі; золотий ківі</t>
  </si>
  <si>
    <t>Mango</t>
  </si>
  <si>
    <t>Манго</t>
  </si>
  <si>
    <t>mangoes; fresh mango; mango flesh; ripe mango</t>
  </si>
  <si>
    <t>манго; свіже манго; стигле манго</t>
  </si>
  <si>
    <t>Pineapple</t>
  </si>
  <si>
    <t>Ананас</t>
  </si>
  <si>
    <t>fresh pineapple; pineapple chunks; pineapple rings</t>
  </si>
  <si>
    <t>ананас свіжий; шматочки ананасу</t>
  </si>
  <si>
    <t>Peach</t>
  </si>
  <si>
    <t>Персик</t>
  </si>
  <si>
    <t>peaches; nectarine; fresh peach; stone fruit</t>
  </si>
  <si>
    <t>персики; нектарин; свіжий персик</t>
  </si>
  <si>
    <t>Hummus</t>
  </si>
  <si>
    <t>Хумус</t>
  </si>
  <si>
    <t>chickpea hummus; tahini dip; hummus classic</t>
  </si>
  <si>
    <t>хумус класичний; нутова паста; тахіні дип</t>
  </si>
  <si>
    <t>Tahini</t>
  </si>
  <si>
    <t>Тахіні</t>
  </si>
  <si>
    <t>sesame paste; tahini sauce; raw tahini</t>
  </si>
  <si>
    <t>кунжутна паста; тахіні соус; сирий тахіні</t>
  </si>
  <si>
    <t>Oat Milk</t>
  </si>
  <si>
    <t>Вівсяне молоко</t>
  </si>
  <si>
    <t>oat drink; plant milk oat; oatly; oat beverage</t>
  </si>
  <si>
    <t>вівсяне молоко; рослинне молоко; оатлі</t>
  </si>
  <si>
    <t>Almond Milk (Unsweetened)</t>
  </si>
  <si>
    <t>Мигдальне молоко (без цукру)</t>
  </si>
  <si>
    <t>almond drink; unsweetened almond milk; plant milk almond</t>
  </si>
  <si>
    <t>мигдальне молоко; рослинне молоко мигдальне</t>
  </si>
  <si>
    <t>Soy Milk</t>
  </si>
  <si>
    <t>Соєве молоко</t>
  </si>
  <si>
    <t>soya milk; soy drink; plant milk soy</t>
  </si>
  <si>
    <t>соєве молоко; соя молоко; рослинне молоко соєве</t>
  </si>
  <si>
    <t>Casein Protein Powder</t>
  </si>
  <si>
    <t>Казеїн протеїн</t>
  </si>
  <si>
    <t>micellar casein; slow release protein; night protein powder</t>
  </si>
  <si>
    <t>казеїн; повільний протеїн; нічний протеїн</t>
  </si>
  <si>
    <t>Creatine Monohydrate</t>
  </si>
  <si>
    <t>Креатин моногідрат</t>
  </si>
  <si>
    <t>creatine; creatine powder; creatine supplement</t>
  </si>
  <si>
    <t>креатин; креатин порошок; креатинова добавка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</si>
</sst>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color theme="1"/>
      <family val="2"/>
      <scheme val="minor"/>
      <sz val="11"/>
      <name val="Calibri"/>
    </font>
    <font>
      <b/>
      <color rgb="FF1E2836"/>
      <sz val="16"/>
    </font>
    <font>
      <i/>
    </font>
    <font>
      <color rgb="FFFFFFFF"/>
    </font>
    <font>
      <b/>
      <color rgb="FFFFFFFF"/>
    </font>
    <font>
      <b/>
    </font>
    <font>
      <b/>
      <color rgb="FF1565C0"/>
    </font>
  </fonts>
  <fills count="3">
    <fill>
      <patternFill patternType="none"/>
    </fill>
    <fill>
      <patternFill patternType="gray125"/>
    </fill>
    <fill>
      <patternFill patternType="solid">
        <fgColor rgb="FF1E283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E2836"/>
      </bottom>
      <diagonal/>
    </border>
    <border>
      <left/>
      <right/>
      <top/>
      <bottom style="thin">
        <color rgb="FF1E283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2" borderId="0" xfId="0" applyFont="1" applyFill="1"/>
    <xf numFmtId="0" fontId="5" fillId="0" borderId="1" xfId="0" applyFont="1" applyBorder="1"/>
    <xf numFmtId="0" fontId="5" fillId="0" borderId="2" xfId="0" applyFont="1" applyBorder="1"/>
    <xf numFmtId="0" fontId="6" fillId="0" borderId="0" xfId="0" applyFon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1"/>
  <sheetViews>
    <sheetView workbookViewId="0" showGridLines="0">
      <pane ySplit="9" topLeftCell="A10" activePane="bottomLeft" state="frozen"/>
      <selection pane="bottomLeft"/>
    </sheetView>
  </sheetViews>
  <sheetFormatPr defaultRowHeight="18" outlineLevelRow="0" outlineLevelCol="0" x14ac:dyDescent="55" defaultColWidth="10.133333333333333" customHeight="1"/>
  <cols>
    <col min="1" max="1" width="3.2" customWidth="1"/>
    <col min="2" max="2" width="10.4" customWidth="1"/>
    <col min="3" max="3" width="27.733333333333334" customWidth="1"/>
    <col min="4" max="4" width="30.4" customWidth="1"/>
    <col min="5" max="6" width="54.4" customWidth="1"/>
    <col min="7" max="18" width="10.4" customWidth="1"/>
  </cols>
  <sheetData>
    <row r="1" spans="1:1" x14ac:dyDescent="0.25">
      <c r="A1" t="s">
        <v>0</v>
      </c>
    </row>
    <row r="2" spans="2:2" x14ac:dyDescent="0.25">
      <c r="B2" s="1" t="s">
        <v>1</v>
      </c>
    </row>
    <row r="3" spans="2:2" x14ac:dyDescent="0.25">
      <c r="B3" s="2" t="s">
        <v>2</v>
      </c>
    </row>
    <row r="4" spans="2:2" x14ac:dyDescent="0.25">
      <c r="B4" t="s">
        <v>3</v>
      </c>
    </row>
    <row r="7" spans="1:18" x14ac:dyDescent="0.25">
      <c r="A7" s="3" t="s">
        <v>4</v>
      </c>
      <c r="B7" s="4" t="s">
        <v>5</v>
      </c>
      <c r="C7" s="4" t="s">
        <v>0</v>
      </c>
      <c r="D7" s="4" t="s">
        <v>0</v>
      </c>
      <c r="E7" s="4" t="s">
        <v>0</v>
      </c>
      <c r="F7" s="4" t="s">
        <v>0</v>
      </c>
      <c r="G7" s="4" t="s">
        <v>0</v>
      </c>
      <c r="H7" s="4" t="s">
        <v>0</v>
      </c>
      <c r="I7" s="4" t="s">
        <v>0</v>
      </c>
      <c r="J7" s="4" t="s">
        <v>0</v>
      </c>
      <c r="K7" s="4" t="s">
        <v>0</v>
      </c>
      <c r="L7" s="4" t="s">
        <v>0</v>
      </c>
      <c r="M7" s="4" t="s">
        <v>0</v>
      </c>
      <c r="N7" s="4" t="s">
        <v>0</v>
      </c>
      <c r="O7" s="4" t="s">
        <v>0</v>
      </c>
      <c r="P7" s="4" t="s">
        <v>0</v>
      </c>
      <c r="Q7" s="4" t="s">
        <v>0</v>
      </c>
      <c r="R7" s="4" t="s">
        <v>0</v>
      </c>
    </row>
    <row r="9" spans="2:18" x14ac:dyDescent="0.25">
      <c r="B9" s="5" t="s">
        <v>6</v>
      </c>
      <c r="C9" s="5" t="s">
        <v>7</v>
      </c>
      <c r="D9" s="5" t="s">
        <v>8</v>
      </c>
      <c r="E9" s="5" t="s">
        <v>9</v>
      </c>
      <c r="F9" s="5" t="s">
        <v>10</v>
      </c>
      <c r="G9" s="5" t="s">
        <v>11</v>
      </c>
      <c r="H9" s="5" t="s">
        <v>12</v>
      </c>
      <c r="I9" s="5" t="s">
        <v>13</v>
      </c>
      <c r="J9" s="5" t="s">
        <v>14</v>
      </c>
      <c r="K9" s="6" t="s">
        <v>15</v>
      </c>
      <c r="L9" s="6" t="s">
        <v>16</v>
      </c>
      <c r="M9" s="6" t="s">
        <v>17</v>
      </c>
      <c r="N9" s="6" t="s">
        <v>18</v>
      </c>
      <c r="O9" s="6" t="s">
        <v>19</v>
      </c>
      <c r="P9" s="6" t="s">
        <v>20</v>
      </c>
      <c r="Q9" s="6" t="s">
        <v>21</v>
      </c>
      <c r="R9" s="6" t="s">
        <v>22</v>
      </c>
    </row>
    <row r="10" spans="2:18" x14ac:dyDescent="0.25">
      <c r="B10" s="7" t="s">
        <v>23</v>
      </c>
      <c r="C10" t="s">
        <v>24</v>
      </c>
      <c r="D10" t="s">
        <v>25</v>
      </c>
      <c r="E10" t="s">
        <v>26</v>
      </c>
      <c r="F10" t="s">
        <v>27</v>
      </c>
      <c r="G10" s="8">
        <v>49</v>
      </c>
      <c r="H10" s="9">
        <v>1.5</v>
      </c>
      <c r="I10" s="9">
        <v>2.5</v>
      </c>
      <c r="J10" s="9">
        <v>6</v>
      </c>
      <c r="K10">
        <f>G10&lt;=164</f>
        <v>1</v>
      </c>
      <c r="L10">
        <f>G10&gt;164</f>
        <v>0</v>
      </c>
      <c r="M10">
        <f>H10&lt;=5</f>
        <v>1</v>
      </c>
      <c r="N10">
        <f>H10&gt;5</f>
        <v>0</v>
      </c>
      <c r="O10">
        <f>I10&lt;=7</f>
        <v>1</v>
      </c>
      <c r="P10">
        <f>I10&gt;7</f>
        <v>0</v>
      </c>
      <c r="Q10">
        <f>J10&lt;=10</f>
        <v>1</v>
      </c>
      <c r="R10">
        <f>J10&gt;10</f>
        <v>0</v>
      </c>
    </row>
    <row r="11" spans="2:18" x14ac:dyDescent="0.25">
      <c r="B11" s="7" t="s">
        <v>23</v>
      </c>
      <c r="C11" t="s">
        <v>28</v>
      </c>
      <c r="D11" t="s">
        <v>29</v>
      </c>
      <c r="E11" t="s">
        <v>30</v>
      </c>
      <c r="F11" t="s">
        <v>31</v>
      </c>
      <c r="G11" s="8">
        <v>40</v>
      </c>
      <c r="H11" s="9">
        <v>1.5</v>
      </c>
      <c r="I11" s="9">
        <v>3</v>
      </c>
      <c r="J11" s="9">
        <v>4</v>
      </c>
      <c r="K11">
        <f>G11&lt;=164</f>
        <v>1</v>
      </c>
      <c r="L11">
        <f>G11&gt;164</f>
        <v>0</v>
      </c>
      <c r="M11">
        <f>H11&lt;=5</f>
        <v>1</v>
      </c>
      <c r="N11">
        <f>H11&gt;5</f>
        <v>0</v>
      </c>
      <c r="O11">
        <f>I11&lt;=7</f>
        <v>1</v>
      </c>
      <c r="P11">
        <f>I11&gt;7</f>
        <v>0</v>
      </c>
      <c r="Q11">
        <f>J11&lt;=10</f>
        <v>1</v>
      </c>
      <c r="R11">
        <f>J11&gt;10</f>
        <v>0</v>
      </c>
    </row>
    <row r="12" spans="2:18" x14ac:dyDescent="0.25">
      <c r="B12" s="7" t="s">
        <v>23</v>
      </c>
      <c r="C12" t="s">
        <v>32</v>
      </c>
      <c r="D12" t="s">
        <v>33</v>
      </c>
      <c r="E12" t="s">
        <v>34</v>
      </c>
      <c r="F12" t="s">
        <v>35</v>
      </c>
      <c r="G12" s="8">
        <v>190</v>
      </c>
      <c r="H12" s="9">
        <v>4</v>
      </c>
      <c r="I12" s="9">
        <v>5</v>
      </c>
      <c r="J12" s="9">
        <v>33</v>
      </c>
      <c r="K12">
        <f>G12&lt;=164</f>
        <v>0</v>
      </c>
      <c r="L12">
        <f>G12&gt;164</f>
        <v>1</v>
      </c>
      <c r="M12">
        <f>H12&lt;=5</f>
        <v>1</v>
      </c>
      <c r="N12">
        <f>H12&gt;5</f>
        <v>0</v>
      </c>
      <c r="O12">
        <f>I12&lt;=7</f>
        <v>1</v>
      </c>
      <c r="P12">
        <f>I12&gt;7</f>
        <v>0</v>
      </c>
      <c r="Q12">
        <f>J12&lt;=10</f>
        <v>0</v>
      </c>
      <c r="R12">
        <f>J12&gt;10</f>
        <v>1</v>
      </c>
    </row>
    <row r="13" spans="2:18" x14ac:dyDescent="0.25">
      <c r="B13" s="7" t="s">
        <v>23</v>
      </c>
      <c r="C13" t="s">
        <v>36</v>
      </c>
      <c r="D13" t="s">
        <v>37</v>
      </c>
      <c r="E13" t="s">
        <v>38</v>
      </c>
      <c r="F13" t="s">
        <v>39</v>
      </c>
      <c r="G13" s="8">
        <v>200</v>
      </c>
      <c r="H13" s="9">
        <v>5</v>
      </c>
      <c r="I13" s="9">
        <v>9</v>
      </c>
      <c r="J13" s="9">
        <v>30</v>
      </c>
      <c r="K13">
        <f>G13&lt;=164</f>
        <v>0</v>
      </c>
      <c r="L13">
        <f>G13&gt;164</f>
        <v>1</v>
      </c>
      <c r="M13">
        <f>H13&lt;=5</f>
        <v>1</v>
      </c>
      <c r="N13">
        <f>H13&gt;5</f>
        <v>0</v>
      </c>
      <c r="O13">
        <f>I13&lt;=7</f>
        <v>0</v>
      </c>
      <c r="P13">
        <f>I13&gt;7</f>
        <v>1</v>
      </c>
      <c r="Q13">
        <f>J13&lt;=10</f>
        <v>0</v>
      </c>
      <c r="R13">
        <f>J13&gt;10</f>
        <v>1</v>
      </c>
    </row>
    <row r="14" spans="2:18" x14ac:dyDescent="0.25">
      <c r="B14" s="7" t="s">
        <v>23</v>
      </c>
      <c r="C14" t="s">
        <v>40</v>
      </c>
      <c r="D14" t="s">
        <v>41</v>
      </c>
      <c r="E14" t="s">
        <v>42</v>
      </c>
      <c r="F14" t="s">
        <v>43</v>
      </c>
      <c r="G14" s="8">
        <v>180</v>
      </c>
      <c r="H14" s="9">
        <v>3</v>
      </c>
      <c r="I14" s="9">
        <v>4</v>
      </c>
      <c r="J14" s="9">
        <v>34</v>
      </c>
      <c r="K14">
        <f>G14&lt;=164</f>
        <v>0</v>
      </c>
      <c r="L14">
        <f>G14&gt;164</f>
        <v>1</v>
      </c>
      <c r="M14">
        <f>H14&lt;=5</f>
        <v>1</v>
      </c>
      <c r="N14">
        <f>H14&gt;5</f>
        <v>0</v>
      </c>
      <c r="O14">
        <f>I14&lt;=7</f>
        <v>1</v>
      </c>
      <c r="P14">
        <f>I14&gt;7</f>
        <v>0</v>
      </c>
      <c r="Q14">
        <f>J14&lt;=10</f>
        <v>0</v>
      </c>
      <c r="R14">
        <f>J14&gt;10</f>
        <v>1</v>
      </c>
    </row>
    <row r="15" spans="2:18" x14ac:dyDescent="0.25">
      <c r="B15" s="7" t="s">
        <v>44</v>
      </c>
      <c r="C15" t="s">
        <v>45</v>
      </c>
      <c r="D15" t="s">
        <v>46</v>
      </c>
      <c r="E15" t="s">
        <v>47</v>
      </c>
      <c r="F15" t="s">
        <v>48</v>
      </c>
      <c r="G15" s="8">
        <v>797</v>
      </c>
      <c r="H15" s="9">
        <v>89</v>
      </c>
      <c r="I15" s="9">
        <v>1.4</v>
      </c>
      <c r="J15" s="9">
        <v>0</v>
      </c>
      <c r="K15">
        <f>G15&lt;=164</f>
        <v>0</v>
      </c>
      <c r="L15">
        <f>G15&gt;164</f>
        <v>1</v>
      </c>
      <c r="M15">
        <f>H15&lt;=5</f>
        <v>0</v>
      </c>
      <c r="N15">
        <f>H15&gt;5</f>
        <v>1</v>
      </c>
      <c r="O15">
        <f>I15&lt;=7</f>
        <v>1</v>
      </c>
      <c r="P15">
        <f>I15&gt;7</f>
        <v>0</v>
      </c>
      <c r="Q15">
        <f>J15&lt;=10</f>
        <v>1</v>
      </c>
      <c r="R15">
        <f>J15&gt;10</f>
        <v>0</v>
      </c>
    </row>
    <row r="16" spans="2:18" x14ac:dyDescent="0.25">
      <c r="B16" s="7" t="s">
        <v>23</v>
      </c>
      <c r="C16" t="s">
        <v>49</v>
      </c>
      <c r="D16" t="s">
        <v>50</v>
      </c>
      <c r="E16" t="s">
        <v>51</v>
      </c>
      <c r="F16" t="s">
        <v>52</v>
      </c>
      <c r="G16" s="8">
        <v>95</v>
      </c>
      <c r="H16" s="9">
        <v>4</v>
      </c>
      <c r="I16" s="9">
        <v>6</v>
      </c>
      <c r="J16" s="9">
        <v>9</v>
      </c>
      <c r="K16">
        <f>G16&lt;=164</f>
        <v>1</v>
      </c>
      <c r="L16">
        <f>G16&gt;164</f>
        <v>0</v>
      </c>
      <c r="M16">
        <f>H16&lt;=5</f>
        <v>1</v>
      </c>
      <c r="N16">
        <f>H16&gt;5</f>
        <v>0</v>
      </c>
      <c r="O16">
        <f>I16&lt;=7</f>
        <v>1</v>
      </c>
      <c r="P16">
        <f>I16&gt;7</f>
        <v>0</v>
      </c>
      <c r="Q16">
        <f>J16&lt;=10</f>
        <v>1</v>
      </c>
      <c r="R16">
        <f>J16&gt;10</f>
        <v>0</v>
      </c>
    </row>
    <row r="17" spans="2:18" x14ac:dyDescent="0.25">
      <c r="B17" s="7" t="s">
        <v>23</v>
      </c>
      <c r="C17" t="s">
        <v>53</v>
      </c>
      <c r="D17" t="s">
        <v>54</v>
      </c>
      <c r="E17" t="s">
        <v>55</v>
      </c>
      <c r="F17" t="s">
        <v>56</v>
      </c>
      <c r="G17" s="8">
        <v>180</v>
      </c>
      <c r="H17" s="9">
        <v>8</v>
      </c>
      <c r="I17" s="9">
        <v>3</v>
      </c>
      <c r="J17" s="9">
        <v>24</v>
      </c>
      <c r="K17">
        <f>G17&lt;=164</f>
        <v>0</v>
      </c>
      <c r="L17">
        <f>G17&gt;164</f>
        <v>1</v>
      </c>
      <c r="M17">
        <f>H17&lt;=5</f>
        <v>0</v>
      </c>
      <c r="N17">
        <f>H17&gt;5</f>
        <v>1</v>
      </c>
      <c r="O17">
        <f>I17&lt;=7</f>
        <v>1</v>
      </c>
      <c r="P17">
        <f>I17&gt;7</f>
        <v>0</v>
      </c>
      <c r="Q17">
        <f>J17&lt;=10</f>
        <v>0</v>
      </c>
      <c r="R17">
        <f>J17&gt;10</f>
        <v>1</v>
      </c>
    </row>
    <row r="18" spans="2:18" x14ac:dyDescent="0.25">
      <c r="B18" s="7" t="s">
        <v>23</v>
      </c>
      <c r="C18" t="s">
        <v>57</v>
      </c>
      <c r="D18" t="s">
        <v>58</v>
      </c>
      <c r="E18" t="s">
        <v>59</v>
      </c>
      <c r="F18" t="s">
        <v>60</v>
      </c>
      <c r="G18" s="8">
        <v>200</v>
      </c>
      <c r="H18" s="9">
        <v>7</v>
      </c>
      <c r="I18" s="9">
        <v>12</v>
      </c>
      <c r="J18" s="9">
        <v>22</v>
      </c>
      <c r="K18">
        <f>G18&lt;=164</f>
        <v>0</v>
      </c>
      <c r="L18">
        <f>G18&gt;164</f>
        <v>1</v>
      </c>
      <c r="M18">
        <f>H18&lt;=5</f>
        <v>0</v>
      </c>
      <c r="N18">
        <f>H18&gt;5</f>
        <v>1</v>
      </c>
      <c r="O18">
        <f>I18&lt;=7</f>
        <v>0</v>
      </c>
      <c r="P18">
        <f>I18&gt;7</f>
        <v>1</v>
      </c>
      <c r="Q18">
        <f>J18&lt;=10</f>
        <v>0</v>
      </c>
      <c r="R18">
        <f>J18&gt;10</f>
        <v>1</v>
      </c>
    </row>
    <row r="19" spans="2:18" x14ac:dyDescent="0.25">
      <c r="B19" s="7" t="s">
        <v>23</v>
      </c>
      <c r="C19" t="s">
        <v>61</v>
      </c>
      <c r="D19" t="s">
        <v>62</v>
      </c>
      <c r="E19" t="s">
        <v>63</v>
      </c>
      <c r="F19" t="s">
        <v>64</v>
      </c>
      <c r="G19" s="8">
        <v>250</v>
      </c>
      <c r="H19" s="9">
        <v>16</v>
      </c>
      <c r="I19" s="9">
        <v>18</v>
      </c>
      <c r="J19" s="9">
        <v>10</v>
      </c>
      <c r="K19">
        <f>G19&lt;=164</f>
        <v>0</v>
      </c>
      <c r="L19">
        <f>G19&gt;164</f>
        <v>1</v>
      </c>
      <c r="M19">
        <f>H19&lt;=5</f>
        <v>0</v>
      </c>
      <c r="N19">
        <f>H19&gt;5</f>
        <v>1</v>
      </c>
      <c r="O19">
        <f>I19&lt;=7</f>
        <v>0</v>
      </c>
      <c r="P19">
        <f>I19&gt;7</f>
        <v>1</v>
      </c>
      <c r="Q19">
        <f>J19&lt;=10</f>
        <v>1</v>
      </c>
      <c r="R19">
        <f>J19&gt;10</f>
        <v>0</v>
      </c>
    </row>
    <row r="20" spans="2:18" x14ac:dyDescent="0.25">
      <c r="B20" s="7" t="s">
        <v>23</v>
      </c>
      <c r="C20" t="s">
        <v>65</v>
      </c>
      <c r="D20" t="s">
        <v>66</v>
      </c>
      <c r="E20" t="s">
        <v>67</v>
      </c>
      <c r="F20" t="s">
        <v>68</v>
      </c>
      <c r="G20" s="8">
        <v>300</v>
      </c>
      <c r="H20" s="9">
        <v>8</v>
      </c>
      <c r="I20" s="9">
        <v>7</v>
      </c>
      <c r="J20" s="9">
        <v>50</v>
      </c>
      <c r="K20">
        <f>G20&lt;=164</f>
        <v>0</v>
      </c>
      <c r="L20">
        <f>G20&gt;164</f>
        <v>1</v>
      </c>
      <c r="M20">
        <f>H20&lt;=5</f>
        <v>0</v>
      </c>
      <c r="N20">
        <f>H20&gt;5</f>
        <v>1</v>
      </c>
      <c r="O20">
        <f>I20&lt;=7</f>
        <v>1</v>
      </c>
      <c r="P20">
        <f>I20&gt;7</f>
        <v>0</v>
      </c>
      <c r="Q20">
        <f>J20&lt;=10</f>
        <v>0</v>
      </c>
      <c r="R20">
        <f>J20&gt;10</f>
        <v>1</v>
      </c>
    </row>
    <row r="21" spans="2:18" x14ac:dyDescent="0.25">
      <c r="B21" s="7" t="s">
        <v>23</v>
      </c>
      <c r="C21" t="s">
        <v>69</v>
      </c>
      <c r="D21" t="s">
        <v>70</v>
      </c>
      <c r="E21" t="s">
        <v>71</v>
      </c>
      <c r="F21" t="s">
        <v>72</v>
      </c>
      <c r="G21" s="8">
        <v>150</v>
      </c>
      <c r="H21" s="9">
        <v>3</v>
      </c>
      <c r="I21" s="9">
        <v>4</v>
      </c>
      <c r="J21" s="9">
        <v>27</v>
      </c>
      <c r="K21">
        <f>G21&lt;=164</f>
        <v>1</v>
      </c>
      <c r="L21">
        <f>G21&gt;164</f>
        <v>0</v>
      </c>
      <c r="M21">
        <f>H21&lt;=5</f>
        <v>1</v>
      </c>
      <c r="N21">
        <f>H21&gt;5</f>
        <v>0</v>
      </c>
      <c r="O21">
        <f>I21&lt;=7</f>
        <v>1</v>
      </c>
      <c r="P21">
        <f>I21&gt;7</f>
        <v>0</v>
      </c>
      <c r="Q21">
        <f>J21&lt;=10</f>
        <v>0</v>
      </c>
      <c r="R21">
        <f>J21&gt;10</f>
        <v>1</v>
      </c>
    </row>
    <row r="22" spans="2:18" x14ac:dyDescent="0.25">
      <c r="B22" s="7" t="s">
        <v>23</v>
      </c>
      <c r="C22" t="s">
        <v>73</v>
      </c>
      <c r="D22" t="s">
        <v>74</v>
      </c>
      <c r="E22" t="s">
        <v>75</v>
      </c>
      <c r="F22" t="s">
        <v>76</v>
      </c>
      <c r="G22" s="8">
        <v>60</v>
      </c>
      <c r="H22" s="9">
        <v>2.5</v>
      </c>
      <c r="I22" s="9">
        <v>3</v>
      </c>
      <c r="J22" s="9">
        <v>5</v>
      </c>
      <c r="K22">
        <f>G22&lt;=164</f>
        <v>1</v>
      </c>
      <c r="L22">
        <f>G22&gt;164</f>
        <v>0</v>
      </c>
      <c r="M22">
        <f>H22&lt;=5</f>
        <v>1</v>
      </c>
      <c r="N22">
        <f>H22&gt;5</f>
        <v>0</v>
      </c>
      <c r="O22">
        <f>I22&lt;=7</f>
        <v>1</v>
      </c>
      <c r="P22">
        <f>I22&gt;7</f>
        <v>0</v>
      </c>
      <c r="Q22">
        <f>J22&lt;=10</f>
        <v>1</v>
      </c>
      <c r="R22">
        <f>J22&gt;10</f>
        <v>0</v>
      </c>
    </row>
    <row r="23" spans="2:18" x14ac:dyDescent="0.25">
      <c r="B23" s="7" t="s">
        <v>23</v>
      </c>
      <c r="C23" t="s">
        <v>77</v>
      </c>
      <c r="D23" t="s">
        <v>78</v>
      </c>
      <c r="E23" t="s">
        <v>79</v>
      </c>
      <c r="F23" t="s">
        <v>80</v>
      </c>
      <c r="G23" s="8">
        <v>70</v>
      </c>
      <c r="H23" s="9">
        <v>4</v>
      </c>
      <c r="I23" s="9">
        <v>5</v>
      </c>
      <c r="J23" s="9">
        <v>3</v>
      </c>
      <c r="K23">
        <f>G23&lt;=164</f>
        <v>1</v>
      </c>
      <c r="L23">
        <f>G23&gt;164</f>
        <v>0</v>
      </c>
      <c r="M23">
        <f>H23&lt;=5</f>
        <v>1</v>
      </c>
      <c r="N23">
        <f>H23&gt;5</f>
        <v>0</v>
      </c>
      <c r="O23">
        <f>I23&lt;=7</f>
        <v>1</v>
      </c>
      <c r="P23">
        <f>I23&gt;7</f>
        <v>0</v>
      </c>
      <c r="Q23">
        <f>J23&lt;=10</f>
        <v>1</v>
      </c>
      <c r="R23">
        <f>J23&gt;10</f>
        <v>0</v>
      </c>
    </row>
    <row r="24" spans="2:18" x14ac:dyDescent="0.25">
      <c r="B24" s="7" t="s">
        <v>23</v>
      </c>
      <c r="C24" t="s">
        <v>81</v>
      </c>
      <c r="D24" t="s">
        <v>82</v>
      </c>
      <c r="E24" t="s">
        <v>83</v>
      </c>
      <c r="F24" t="s">
        <v>84</v>
      </c>
      <c r="G24" s="8">
        <v>35</v>
      </c>
      <c r="H24" s="9">
        <v>1</v>
      </c>
      <c r="I24" s="9">
        <v>2</v>
      </c>
      <c r="J24" s="9">
        <v>5</v>
      </c>
      <c r="K24">
        <f>G24&lt;=164</f>
        <v>1</v>
      </c>
      <c r="L24">
        <f>G24&gt;164</f>
        <v>0</v>
      </c>
      <c r="M24">
        <f>H24&lt;=5</f>
        <v>1</v>
      </c>
      <c r="N24">
        <f>H24&gt;5</f>
        <v>0</v>
      </c>
      <c r="O24">
        <f>I24&lt;=7</f>
        <v>1</v>
      </c>
      <c r="P24">
        <f>I24&gt;7</f>
        <v>0</v>
      </c>
      <c r="Q24">
        <f>J24&lt;=10</f>
        <v>1</v>
      </c>
      <c r="R24">
        <f>J24&gt;10</f>
        <v>0</v>
      </c>
    </row>
    <row r="25" spans="2:18" x14ac:dyDescent="0.25">
      <c r="B25" s="7" t="s">
        <v>23</v>
      </c>
      <c r="C25" t="s">
        <v>85</v>
      </c>
      <c r="D25" t="s">
        <v>86</v>
      </c>
      <c r="E25" t="s">
        <v>87</v>
      </c>
      <c r="F25" t="s">
        <v>88</v>
      </c>
      <c r="G25" s="8">
        <v>150</v>
      </c>
      <c r="H25" s="9">
        <v>10</v>
      </c>
      <c r="I25" s="9">
        <v>5</v>
      </c>
      <c r="J25" s="9">
        <v>10</v>
      </c>
      <c r="K25">
        <f>G25&lt;=164</f>
        <v>1</v>
      </c>
      <c r="L25">
        <f>G25&gt;164</f>
        <v>0</v>
      </c>
      <c r="M25">
        <f>H25&lt;=5</f>
        <v>0</v>
      </c>
      <c r="N25">
        <f>H25&gt;5</f>
        <v>1</v>
      </c>
      <c r="O25">
        <f>I25&lt;=7</f>
        <v>1</v>
      </c>
      <c r="P25">
        <f>I25&gt;7</f>
        <v>0</v>
      </c>
      <c r="Q25">
        <f>J25&lt;=10</f>
        <v>1</v>
      </c>
      <c r="R25">
        <f>J25&gt;10</f>
        <v>0</v>
      </c>
    </row>
    <row r="26" spans="2:18" x14ac:dyDescent="0.25">
      <c r="B26" s="7" t="s">
        <v>23</v>
      </c>
      <c r="C26" t="s">
        <v>89</v>
      </c>
      <c r="D26" t="s">
        <v>90</v>
      </c>
      <c r="E26" t="s">
        <v>91</v>
      </c>
      <c r="F26" t="s">
        <v>92</v>
      </c>
      <c r="G26" s="8">
        <v>180</v>
      </c>
      <c r="H26" s="9">
        <v>12</v>
      </c>
      <c r="I26" s="9">
        <v>6</v>
      </c>
      <c r="J26" s="9">
        <v>12</v>
      </c>
      <c r="K26">
        <f>G26&lt;=164</f>
        <v>0</v>
      </c>
      <c r="L26">
        <f>G26&gt;164</f>
        <v>1</v>
      </c>
      <c r="M26">
        <f>H26&lt;=5</f>
        <v>0</v>
      </c>
      <c r="N26">
        <f>H26&gt;5</f>
        <v>1</v>
      </c>
      <c r="O26">
        <f>I26&lt;=7</f>
        <v>1</v>
      </c>
      <c r="P26">
        <f>I26&gt;7</f>
        <v>0</v>
      </c>
      <c r="Q26">
        <f>J26&lt;=10</f>
        <v>0</v>
      </c>
      <c r="R26">
        <f>J26&gt;10</f>
        <v>1</v>
      </c>
    </row>
    <row r="27" spans="2:18" x14ac:dyDescent="0.25">
      <c r="B27" s="7" t="s">
        <v>23</v>
      </c>
      <c r="C27" t="s">
        <v>93</v>
      </c>
      <c r="D27" t="s">
        <v>94</v>
      </c>
      <c r="E27" t="s">
        <v>95</v>
      </c>
      <c r="F27" t="s">
        <v>96</v>
      </c>
      <c r="G27" s="8">
        <v>130</v>
      </c>
      <c r="H27" s="9">
        <v>8</v>
      </c>
      <c r="I27" s="9">
        <v>2</v>
      </c>
      <c r="J27" s="9">
        <v>13</v>
      </c>
      <c r="K27">
        <f>G27&lt;=164</f>
        <v>1</v>
      </c>
      <c r="L27">
        <f>G27&gt;164</f>
        <v>0</v>
      </c>
      <c r="M27">
        <f>H27&lt;=5</f>
        <v>0</v>
      </c>
      <c r="N27">
        <f>H27&gt;5</f>
        <v>1</v>
      </c>
      <c r="O27">
        <f>I27&lt;=7</f>
        <v>1</v>
      </c>
      <c r="P27">
        <f>I27&gt;7</f>
        <v>0</v>
      </c>
      <c r="Q27">
        <f>J27&lt;=10</f>
        <v>0</v>
      </c>
      <c r="R27">
        <f>J27&gt;10</f>
        <v>1</v>
      </c>
    </row>
    <row r="28" spans="2:18" x14ac:dyDescent="0.25">
      <c r="B28" s="7" t="s">
        <v>23</v>
      </c>
      <c r="C28" t="s">
        <v>97</v>
      </c>
      <c r="D28" t="s">
        <v>98</v>
      </c>
      <c r="E28" t="s">
        <v>99</v>
      </c>
      <c r="F28" t="s">
        <v>100</v>
      </c>
      <c r="G28" s="8">
        <v>190</v>
      </c>
      <c r="H28" s="9">
        <v>5</v>
      </c>
      <c r="I28" s="9">
        <v>5.5</v>
      </c>
      <c r="J28" s="9">
        <v>30</v>
      </c>
      <c r="K28">
        <f>G28&lt;=164</f>
        <v>0</v>
      </c>
      <c r="L28">
        <f>G28&gt;164</f>
        <v>1</v>
      </c>
      <c r="M28">
        <f>H28&lt;=5</f>
        <v>1</v>
      </c>
      <c r="N28">
        <f>H28&gt;5</f>
        <v>0</v>
      </c>
      <c r="O28">
        <f>I28&lt;=7</f>
        <v>1</v>
      </c>
      <c r="P28">
        <f>I28&gt;7</f>
        <v>0</v>
      </c>
      <c r="Q28">
        <f>J28&lt;=10</f>
        <v>0</v>
      </c>
      <c r="R28">
        <f>J28&gt;10</f>
        <v>1</v>
      </c>
    </row>
    <row r="29" spans="2:18" x14ac:dyDescent="0.25">
      <c r="B29" s="7" t="s">
        <v>23</v>
      </c>
      <c r="C29" t="s">
        <v>101</v>
      </c>
      <c r="D29" t="s">
        <v>102</v>
      </c>
      <c r="E29" t="s">
        <v>103</v>
      </c>
      <c r="F29" t="s">
        <v>104</v>
      </c>
      <c r="G29" s="8">
        <v>130</v>
      </c>
      <c r="H29" s="9">
        <v>3</v>
      </c>
      <c r="I29" s="9">
        <v>4</v>
      </c>
      <c r="J29" s="9">
        <v>22</v>
      </c>
      <c r="K29">
        <f>G29&lt;=164</f>
        <v>1</v>
      </c>
      <c r="L29">
        <f>G29&gt;164</f>
        <v>0</v>
      </c>
      <c r="M29">
        <f>H29&lt;=5</f>
        <v>1</v>
      </c>
      <c r="N29">
        <f>H29&gt;5</f>
        <v>0</v>
      </c>
      <c r="O29">
        <f>I29&lt;=7</f>
        <v>1</v>
      </c>
      <c r="P29">
        <f>I29&gt;7</f>
        <v>0</v>
      </c>
      <c r="Q29">
        <f>J29&lt;=10</f>
        <v>0</v>
      </c>
      <c r="R29">
        <f>J29&gt;10</f>
        <v>1</v>
      </c>
    </row>
    <row r="30" spans="2:18" x14ac:dyDescent="0.25">
      <c r="B30" s="7" t="s">
        <v>23</v>
      </c>
      <c r="C30" t="s">
        <v>105</v>
      </c>
      <c r="D30" t="s">
        <v>106</v>
      </c>
      <c r="E30" t="s">
        <v>107</v>
      </c>
      <c r="F30" t="s">
        <v>108</v>
      </c>
      <c r="G30" s="8">
        <v>150</v>
      </c>
      <c r="H30" s="9">
        <v>6</v>
      </c>
      <c r="I30" s="9">
        <v>4</v>
      </c>
      <c r="J30" s="9">
        <v>20</v>
      </c>
      <c r="K30">
        <f>G30&lt;=164</f>
        <v>1</v>
      </c>
      <c r="L30">
        <f>G30&gt;164</f>
        <v>0</v>
      </c>
      <c r="M30">
        <f>H30&lt;=5</f>
        <v>0</v>
      </c>
      <c r="N30">
        <f>H30&gt;5</f>
        <v>1</v>
      </c>
      <c r="O30">
        <f>I30&lt;=7</f>
        <v>1</v>
      </c>
      <c r="P30">
        <f>I30&gt;7</f>
        <v>0</v>
      </c>
      <c r="Q30">
        <f>J30&lt;=10</f>
        <v>0</v>
      </c>
      <c r="R30">
        <f>J30&gt;10</f>
        <v>1</v>
      </c>
    </row>
    <row r="31" spans="2:18" x14ac:dyDescent="0.25">
      <c r="B31" s="7" t="s">
        <v>44</v>
      </c>
      <c r="C31" t="s">
        <v>109</v>
      </c>
      <c r="D31" t="s">
        <v>110</v>
      </c>
      <c r="E31" t="s">
        <v>111</v>
      </c>
      <c r="F31" t="s">
        <v>112</v>
      </c>
      <c r="G31" s="8">
        <v>280</v>
      </c>
      <c r="H31" s="9">
        <v>24</v>
      </c>
      <c r="I31" s="9">
        <v>14</v>
      </c>
      <c r="J31" s="9">
        <v>2</v>
      </c>
      <c r="K31">
        <f>G31&lt;=164</f>
        <v>0</v>
      </c>
      <c r="L31">
        <f>G31&gt;164</f>
        <v>1</v>
      </c>
      <c r="M31">
        <f>H31&lt;=5</f>
        <v>0</v>
      </c>
      <c r="N31">
        <f>H31&gt;5</f>
        <v>1</v>
      </c>
      <c r="O31">
        <f>I31&lt;=7</f>
        <v>0</v>
      </c>
      <c r="P31">
        <f>I31&gt;7</f>
        <v>1</v>
      </c>
      <c r="Q31">
        <f>J31&lt;=10</f>
        <v>1</v>
      </c>
      <c r="R31">
        <f>J31&gt;10</f>
        <v>0</v>
      </c>
    </row>
    <row r="32" spans="2:18" x14ac:dyDescent="0.25">
      <c r="B32" s="7" t="s">
        <v>23</v>
      </c>
      <c r="C32" t="s">
        <v>113</v>
      </c>
      <c r="D32" t="s">
        <v>114</v>
      </c>
      <c r="E32" t="s">
        <v>115</v>
      </c>
      <c r="F32" t="s">
        <v>116</v>
      </c>
      <c r="G32" s="8">
        <v>220</v>
      </c>
      <c r="H32" s="9">
        <v>14</v>
      </c>
      <c r="I32" s="9">
        <v>16</v>
      </c>
      <c r="J32" s="9">
        <v>8</v>
      </c>
      <c r="K32">
        <f>G32&lt;=164</f>
        <v>0</v>
      </c>
      <c r="L32">
        <f>G32&gt;164</f>
        <v>1</v>
      </c>
      <c r="M32">
        <f>H32&lt;=5</f>
        <v>0</v>
      </c>
      <c r="N32">
        <f>H32&gt;5</f>
        <v>1</v>
      </c>
      <c r="O32">
        <f>I32&lt;=7</f>
        <v>0</v>
      </c>
      <c r="P32">
        <f>I32&gt;7</f>
        <v>1</v>
      </c>
      <c r="Q32">
        <f>J32&lt;=10</f>
        <v>1</v>
      </c>
      <c r="R32">
        <f>J32&gt;10</f>
        <v>0</v>
      </c>
    </row>
    <row r="33" spans="2:18" x14ac:dyDescent="0.25">
      <c r="B33" s="7" t="s">
        <v>23</v>
      </c>
      <c r="C33" t="s">
        <v>117</v>
      </c>
      <c r="D33" t="s">
        <v>118</v>
      </c>
      <c r="E33" t="s">
        <v>119</v>
      </c>
      <c r="F33" t="s">
        <v>120</v>
      </c>
      <c r="G33" s="8">
        <v>80</v>
      </c>
      <c r="H33" s="9">
        <v>5</v>
      </c>
      <c r="I33" s="9">
        <v>8</v>
      </c>
      <c r="J33" s="9">
        <v>0.5</v>
      </c>
      <c r="K33">
        <f>G33&lt;=164</f>
        <v>1</v>
      </c>
      <c r="L33">
        <f>G33&gt;164</f>
        <v>0</v>
      </c>
      <c r="M33">
        <f>H33&lt;=5</f>
        <v>1</v>
      </c>
      <c r="N33">
        <f>H33&gt;5</f>
        <v>0</v>
      </c>
      <c r="O33">
        <f>I33&lt;=7</f>
        <v>0</v>
      </c>
      <c r="P33">
        <f>I33&gt;7</f>
        <v>1</v>
      </c>
      <c r="Q33">
        <f>J33&lt;=10</f>
        <v>1</v>
      </c>
      <c r="R33">
        <f>J33&gt;10</f>
        <v>0</v>
      </c>
    </row>
    <row r="34" spans="2:18" x14ac:dyDescent="0.25">
      <c r="B34" s="7" t="s">
        <v>23</v>
      </c>
      <c r="C34" t="s">
        <v>121</v>
      </c>
      <c r="D34" t="s">
        <v>122</v>
      </c>
      <c r="E34" t="s">
        <v>123</v>
      </c>
      <c r="F34" t="s">
        <v>124</v>
      </c>
      <c r="G34" s="8">
        <v>150</v>
      </c>
      <c r="H34" s="9">
        <v>5</v>
      </c>
      <c r="I34" s="9">
        <v>7</v>
      </c>
      <c r="J34" s="9">
        <v>20</v>
      </c>
      <c r="K34">
        <f>G34&lt;=164</f>
        <v>1</v>
      </c>
      <c r="L34">
        <f>G34&gt;164</f>
        <v>0</v>
      </c>
      <c r="M34">
        <f>H34&lt;=5</f>
        <v>1</v>
      </c>
      <c r="N34">
        <f>H34&gt;5</f>
        <v>0</v>
      </c>
      <c r="O34">
        <f>I34&lt;=7</f>
        <v>1</v>
      </c>
      <c r="P34">
        <f>I34&gt;7</f>
        <v>0</v>
      </c>
      <c r="Q34">
        <f>J34&lt;=10</f>
        <v>0</v>
      </c>
      <c r="R34">
        <f>J34&gt;10</f>
        <v>1</v>
      </c>
    </row>
    <row r="35" spans="2:18" x14ac:dyDescent="0.25">
      <c r="B35" s="7" t="s">
        <v>44</v>
      </c>
      <c r="C35" t="s">
        <v>125</v>
      </c>
      <c r="D35" t="s">
        <v>126</v>
      </c>
      <c r="E35" t="s">
        <v>127</v>
      </c>
      <c r="F35" t="s">
        <v>128</v>
      </c>
      <c r="G35" s="8">
        <v>92</v>
      </c>
      <c r="H35" s="9">
        <v>0.6</v>
      </c>
      <c r="I35" s="9">
        <v>3.4</v>
      </c>
      <c r="J35" s="9">
        <v>19.9</v>
      </c>
      <c r="K35">
        <f>G35&lt;=164</f>
        <v>1</v>
      </c>
      <c r="L35">
        <f>G35&gt;164</f>
        <v>0</v>
      </c>
      <c r="M35">
        <f>H35&lt;=5</f>
        <v>1</v>
      </c>
      <c r="N35">
        <f>H35&gt;5</f>
        <v>0</v>
      </c>
      <c r="O35">
        <f>I35&lt;=7</f>
        <v>1</v>
      </c>
      <c r="P35">
        <f>I35&gt;7</f>
        <v>0</v>
      </c>
      <c r="Q35">
        <f>J35&lt;=10</f>
        <v>0</v>
      </c>
      <c r="R35">
        <f>J35&gt;10</f>
        <v>1</v>
      </c>
    </row>
    <row r="36" spans="2:18" x14ac:dyDescent="0.25">
      <c r="B36" s="7" t="s">
        <v>44</v>
      </c>
      <c r="C36" t="s">
        <v>129</v>
      </c>
      <c r="D36" t="s">
        <v>130</v>
      </c>
      <c r="E36" t="s">
        <v>131</v>
      </c>
      <c r="F36" t="s">
        <v>132</v>
      </c>
      <c r="G36" s="8">
        <v>206</v>
      </c>
      <c r="H36" s="9">
        <v>20</v>
      </c>
      <c r="I36" s="9">
        <v>2.8</v>
      </c>
      <c r="J36" s="9">
        <v>3.2</v>
      </c>
      <c r="K36">
        <f>G36&lt;=164</f>
        <v>0</v>
      </c>
      <c r="L36">
        <f>G36&gt;164</f>
        <v>1</v>
      </c>
      <c r="M36">
        <f>H36&lt;=5</f>
        <v>0</v>
      </c>
      <c r="N36">
        <f>H36&gt;5</f>
        <v>1</v>
      </c>
      <c r="O36">
        <f>I36&lt;=7</f>
        <v>1</v>
      </c>
      <c r="P36">
        <f>I36&gt;7</f>
        <v>0</v>
      </c>
      <c r="Q36">
        <f>J36&lt;=10</f>
        <v>1</v>
      </c>
      <c r="R36">
        <f>J36&gt;10</f>
        <v>0</v>
      </c>
    </row>
    <row r="37" spans="2:18" x14ac:dyDescent="0.25">
      <c r="B37" s="7" t="s">
        <v>44</v>
      </c>
      <c r="C37" t="s">
        <v>133</v>
      </c>
      <c r="D37" t="s">
        <v>134</v>
      </c>
      <c r="E37" t="s">
        <v>135</v>
      </c>
      <c r="F37" t="s">
        <v>136</v>
      </c>
      <c r="G37" s="8">
        <v>159</v>
      </c>
      <c r="H37" s="9">
        <v>9</v>
      </c>
      <c r="I37" s="9">
        <v>16.7</v>
      </c>
      <c r="J37" s="9">
        <v>2</v>
      </c>
      <c r="K37">
        <f>G37&lt;=164</f>
        <v>1</v>
      </c>
      <c r="L37">
        <f>G37&gt;164</f>
        <v>0</v>
      </c>
      <c r="M37">
        <f>H37&lt;=5</f>
        <v>0</v>
      </c>
      <c r="N37">
        <f>H37&gt;5</f>
        <v>1</v>
      </c>
      <c r="O37">
        <f>I37&lt;=7</f>
        <v>0</v>
      </c>
      <c r="P37">
        <f>I37&gt;7</f>
        <v>1</v>
      </c>
      <c r="Q37">
        <f>J37&lt;=10</f>
        <v>1</v>
      </c>
      <c r="R37">
        <f>J37&gt;10</f>
        <v>0</v>
      </c>
    </row>
    <row r="38" spans="2:18" x14ac:dyDescent="0.25">
      <c r="B38" s="7" t="s">
        <v>44</v>
      </c>
      <c r="C38" t="s">
        <v>137</v>
      </c>
      <c r="D38" t="s">
        <v>138</v>
      </c>
      <c r="E38" t="s">
        <v>139</v>
      </c>
      <c r="F38" t="s">
        <v>140</v>
      </c>
      <c r="G38" s="8">
        <v>27</v>
      </c>
      <c r="H38" s="9">
        <v>0</v>
      </c>
      <c r="I38" s="9">
        <v>0.2</v>
      </c>
      <c r="J38" s="9">
        <v>5</v>
      </c>
      <c r="K38">
        <f>G38&lt;=164</f>
        <v>1</v>
      </c>
      <c r="L38">
        <f>G38&gt;164</f>
        <v>0</v>
      </c>
      <c r="M38">
        <f>H38&lt;=5</f>
        <v>1</v>
      </c>
      <c r="N38">
        <f>H38&gt;5</f>
        <v>0</v>
      </c>
      <c r="O38">
        <f>I38&lt;=7</f>
        <v>1</v>
      </c>
      <c r="P38">
        <f>I38&gt;7</f>
        <v>0</v>
      </c>
      <c r="Q38">
        <f>J38&lt;=10</f>
        <v>1</v>
      </c>
      <c r="R38">
        <f>J38&gt;10</f>
        <v>0</v>
      </c>
    </row>
    <row r="39" spans="2:18" x14ac:dyDescent="0.25">
      <c r="B39" s="7" t="s">
        <v>23</v>
      </c>
      <c r="C39" t="s">
        <v>141</v>
      </c>
      <c r="D39" t="s">
        <v>142</v>
      </c>
      <c r="E39" t="s">
        <v>143</v>
      </c>
      <c r="F39" t="s">
        <v>144</v>
      </c>
      <c r="G39" s="8">
        <v>30</v>
      </c>
      <c r="H39" s="9">
        <v>0</v>
      </c>
      <c r="I39" s="9">
        <v>0.2</v>
      </c>
      <c r="J39" s="9">
        <v>7</v>
      </c>
      <c r="K39">
        <f>G39&lt;=164</f>
        <v>1</v>
      </c>
      <c r="L39">
        <f>G39&gt;164</f>
        <v>0</v>
      </c>
      <c r="M39">
        <f>H39&lt;=5</f>
        <v>1</v>
      </c>
      <c r="N39">
        <f>H39&gt;5</f>
        <v>0</v>
      </c>
      <c r="O39">
        <f>I39&lt;=7</f>
        <v>1</v>
      </c>
      <c r="P39">
        <f>I39&gt;7</f>
        <v>0</v>
      </c>
      <c r="Q39">
        <f>J39&lt;=10</f>
        <v>1</v>
      </c>
      <c r="R39">
        <f>J39&gt;10</f>
        <v>0</v>
      </c>
    </row>
    <row r="40" spans="2:18" x14ac:dyDescent="0.25">
      <c r="B40" s="7" t="s">
        <v>44</v>
      </c>
      <c r="C40" t="s">
        <v>145</v>
      </c>
      <c r="D40" t="s">
        <v>146</v>
      </c>
      <c r="E40" t="s">
        <v>147</v>
      </c>
      <c r="F40" t="s">
        <v>148</v>
      </c>
      <c r="G40" s="8">
        <v>56</v>
      </c>
      <c r="H40" s="9">
        <v>2</v>
      </c>
      <c r="I40" s="9">
        <v>3.3</v>
      </c>
      <c r="J40" s="9">
        <v>4.7</v>
      </c>
      <c r="K40">
        <f>G40&lt;=164</f>
        <v>1</v>
      </c>
      <c r="L40">
        <f>G40&gt;164</f>
        <v>0</v>
      </c>
      <c r="M40">
        <f>H40&lt;=5</f>
        <v>1</v>
      </c>
      <c r="N40">
        <f>H40&gt;5</f>
        <v>0</v>
      </c>
      <c r="O40">
        <f>I40&lt;=7</f>
        <v>1</v>
      </c>
      <c r="P40">
        <f>I40&gt;7</f>
        <v>0</v>
      </c>
      <c r="Q40">
        <f>J40&lt;=10</f>
        <v>1</v>
      </c>
      <c r="R40">
        <f>J40&gt;10</f>
        <v>0</v>
      </c>
    </row>
    <row r="41" spans="2:18" x14ac:dyDescent="0.25">
      <c r="B41" s="7" t="s">
        <v>44</v>
      </c>
      <c r="C41" t="s">
        <v>149</v>
      </c>
      <c r="D41" t="s">
        <v>150</v>
      </c>
      <c r="E41" t="s">
        <v>151</v>
      </c>
      <c r="F41" t="s">
        <v>152</v>
      </c>
      <c r="G41" s="8">
        <v>67</v>
      </c>
      <c r="H41" s="9">
        <v>4</v>
      </c>
      <c r="I41" s="9">
        <v>2.8</v>
      </c>
      <c r="J41" s="9">
        <v>4.2</v>
      </c>
      <c r="K41">
        <f>G41&lt;=164</f>
        <v>1</v>
      </c>
      <c r="L41">
        <f>G41&gt;164</f>
        <v>0</v>
      </c>
      <c r="M41">
        <f>H41&lt;=5</f>
        <v>1</v>
      </c>
      <c r="N41">
        <f>H41&gt;5</f>
        <v>0</v>
      </c>
      <c r="O41">
        <f>I41&lt;=7</f>
        <v>1</v>
      </c>
      <c r="P41">
        <f>I41&gt;7</f>
        <v>0</v>
      </c>
      <c r="Q41">
        <f>J41&lt;=10</f>
        <v>1</v>
      </c>
      <c r="R41">
        <f>J41&gt;10</f>
        <v>0</v>
      </c>
    </row>
    <row r="42" spans="2:18" x14ac:dyDescent="0.25">
      <c r="B42" s="7" t="s">
        <v>23</v>
      </c>
      <c r="C42" t="s">
        <v>153</v>
      </c>
      <c r="D42" t="s">
        <v>154</v>
      </c>
      <c r="E42" t="s">
        <v>155</v>
      </c>
      <c r="F42" t="s">
        <v>156</v>
      </c>
      <c r="G42" s="8">
        <v>230</v>
      </c>
      <c r="H42" s="9">
        <v>12</v>
      </c>
      <c r="I42" s="9">
        <v>12</v>
      </c>
      <c r="J42" s="9">
        <v>20</v>
      </c>
      <c r="K42">
        <f>G42&lt;=164</f>
        <v>0</v>
      </c>
      <c r="L42">
        <f>G42&gt;164</f>
        <v>1</v>
      </c>
      <c r="M42">
        <f>H42&lt;=5</f>
        <v>0</v>
      </c>
      <c r="N42">
        <f>H42&gt;5</f>
        <v>1</v>
      </c>
      <c r="O42">
        <f>I42&lt;=7</f>
        <v>0</v>
      </c>
      <c r="P42">
        <f>I42&gt;7</f>
        <v>1</v>
      </c>
      <c r="Q42">
        <f>J42&lt;=10</f>
        <v>0</v>
      </c>
      <c r="R42">
        <f>J42&gt;10</f>
        <v>1</v>
      </c>
    </row>
    <row r="43" spans="2:18" x14ac:dyDescent="0.25">
      <c r="B43" s="7" t="s">
        <v>23</v>
      </c>
      <c r="C43" t="s">
        <v>157</v>
      </c>
      <c r="D43" t="s">
        <v>158</v>
      </c>
      <c r="E43" t="s">
        <v>159</v>
      </c>
      <c r="F43" t="s">
        <v>160</v>
      </c>
      <c r="G43" s="8">
        <v>180</v>
      </c>
      <c r="H43" s="9">
        <v>11</v>
      </c>
      <c r="I43" s="9">
        <v>12</v>
      </c>
      <c r="J43" s="9">
        <v>8</v>
      </c>
      <c r="K43">
        <f>G43&lt;=164</f>
        <v>0</v>
      </c>
      <c r="L43">
        <f>G43&gt;164</f>
        <v>1</v>
      </c>
      <c r="M43">
        <f>H43&lt;=5</f>
        <v>0</v>
      </c>
      <c r="N43">
        <f>H43&gt;5</f>
        <v>1</v>
      </c>
      <c r="O43">
        <f>I43&lt;=7</f>
        <v>0</v>
      </c>
      <c r="P43">
        <f>I43&gt;7</f>
        <v>1</v>
      </c>
      <c r="Q43">
        <f>J43&lt;=10</f>
        <v>1</v>
      </c>
      <c r="R43">
        <f>J43&gt;10</f>
        <v>0</v>
      </c>
    </row>
    <row r="44" spans="2:18" x14ac:dyDescent="0.25">
      <c r="B44" s="7" t="s">
        <v>23</v>
      </c>
      <c r="C44" t="s">
        <v>161</v>
      </c>
      <c r="D44" t="s">
        <v>162</v>
      </c>
      <c r="E44" t="s">
        <v>163</v>
      </c>
      <c r="F44" t="s">
        <v>164</v>
      </c>
      <c r="G44" s="8">
        <v>120</v>
      </c>
      <c r="H44" s="9">
        <v>5</v>
      </c>
      <c r="I44" s="9">
        <v>8</v>
      </c>
      <c r="J44" s="9">
        <v>11</v>
      </c>
      <c r="K44">
        <f>G44&lt;=164</f>
        <v>1</v>
      </c>
      <c r="L44">
        <f>G44&gt;164</f>
        <v>0</v>
      </c>
      <c r="M44">
        <f>H44&lt;=5</f>
        <v>1</v>
      </c>
      <c r="N44">
        <f>H44&gt;5</f>
        <v>0</v>
      </c>
      <c r="O44">
        <f>I44&lt;=7</f>
        <v>0</v>
      </c>
      <c r="P44">
        <f>I44&gt;7</f>
        <v>1</v>
      </c>
      <c r="Q44">
        <f>J44&lt;=10</f>
        <v>0</v>
      </c>
      <c r="R44">
        <f>J44&gt;10</f>
        <v>1</v>
      </c>
    </row>
    <row r="45" spans="2:18" x14ac:dyDescent="0.25">
      <c r="B45" s="7" t="s">
        <v>23</v>
      </c>
      <c r="C45" t="s">
        <v>165</v>
      </c>
      <c r="D45" t="s">
        <v>166</v>
      </c>
      <c r="E45" t="s">
        <v>167</v>
      </c>
      <c r="F45" t="s">
        <v>168</v>
      </c>
      <c r="G45" s="8">
        <v>140</v>
      </c>
      <c r="H45" s="9">
        <v>7</v>
      </c>
      <c r="I45" s="9">
        <v>7</v>
      </c>
      <c r="J45" s="9">
        <v>12</v>
      </c>
      <c r="K45">
        <f>G45&lt;=164</f>
        <v>1</v>
      </c>
      <c r="L45">
        <f>G45&gt;164</f>
        <v>0</v>
      </c>
      <c r="M45">
        <f>H45&lt;=5</f>
        <v>0</v>
      </c>
      <c r="N45">
        <f>H45&gt;5</f>
        <v>1</v>
      </c>
      <c r="O45">
        <f>I45&lt;=7</f>
        <v>1</v>
      </c>
      <c r="P45">
        <f>I45&gt;7</f>
        <v>0</v>
      </c>
      <c r="Q45">
        <f>J45&lt;=10</f>
        <v>0</v>
      </c>
      <c r="R45">
        <f>J45&gt;10</f>
        <v>1</v>
      </c>
    </row>
    <row r="46" spans="2:18" x14ac:dyDescent="0.25">
      <c r="B46" s="7" t="s">
        <v>23</v>
      </c>
      <c r="C46" t="s">
        <v>169</v>
      </c>
      <c r="D46" t="s">
        <v>170</v>
      </c>
      <c r="E46" t="s">
        <v>171</v>
      </c>
      <c r="F46" t="s">
        <v>172</v>
      </c>
      <c r="G46" s="8">
        <v>265</v>
      </c>
      <c r="H46" s="9">
        <v>14</v>
      </c>
      <c r="I46" s="9">
        <v>8</v>
      </c>
      <c r="J46" s="9">
        <v>28</v>
      </c>
      <c r="K46">
        <f>G46&lt;=164</f>
        <v>0</v>
      </c>
      <c r="L46">
        <f>G46&gt;164</f>
        <v>1</v>
      </c>
      <c r="M46">
        <f>H46&lt;=5</f>
        <v>0</v>
      </c>
      <c r="N46">
        <f>H46&gt;5</f>
        <v>1</v>
      </c>
      <c r="O46">
        <f>I46&lt;=7</f>
        <v>0</v>
      </c>
      <c r="P46">
        <f>I46&gt;7</f>
        <v>1</v>
      </c>
      <c r="Q46">
        <f>J46&lt;=10</f>
        <v>0</v>
      </c>
      <c r="R46">
        <f>J46&gt;10</f>
        <v>1</v>
      </c>
    </row>
    <row r="47" spans="2:18" x14ac:dyDescent="0.25">
      <c r="B47" s="7" t="s">
        <v>23</v>
      </c>
      <c r="C47" t="s">
        <v>173</v>
      </c>
      <c r="D47" t="s">
        <v>174</v>
      </c>
      <c r="E47" t="s">
        <v>175</v>
      </c>
      <c r="F47" t="s">
        <v>176</v>
      </c>
      <c r="G47" s="8">
        <v>240</v>
      </c>
      <c r="H47" s="9">
        <v>15</v>
      </c>
      <c r="I47" s="9">
        <v>13</v>
      </c>
      <c r="J47" s="9">
        <v>14</v>
      </c>
      <c r="K47">
        <f>G47&lt;=164</f>
        <v>0</v>
      </c>
      <c r="L47">
        <f>G47&gt;164</f>
        <v>1</v>
      </c>
      <c r="M47">
        <f>H47&lt;=5</f>
        <v>0</v>
      </c>
      <c r="N47">
        <f>H47&gt;5</f>
        <v>1</v>
      </c>
      <c r="O47">
        <f>I47&lt;=7</f>
        <v>0</v>
      </c>
      <c r="P47">
        <f>I47&gt;7</f>
        <v>1</v>
      </c>
      <c r="Q47">
        <f>J47&lt;=10</f>
        <v>0</v>
      </c>
      <c r="R47">
        <f>J47&gt;10</f>
        <v>1</v>
      </c>
    </row>
    <row r="48" spans="2:18" x14ac:dyDescent="0.25">
      <c r="B48" s="7" t="s">
        <v>23</v>
      </c>
      <c r="C48" t="s">
        <v>177</v>
      </c>
      <c r="D48" t="s">
        <v>178</v>
      </c>
      <c r="E48" t="s">
        <v>179</v>
      </c>
      <c r="F48" t="s">
        <v>180</v>
      </c>
      <c r="G48" s="8">
        <v>180</v>
      </c>
      <c r="H48" s="9">
        <v>5</v>
      </c>
      <c r="I48" s="9">
        <v>6</v>
      </c>
      <c r="J48" s="9">
        <v>26</v>
      </c>
      <c r="K48">
        <f>G48&lt;=164</f>
        <v>0</v>
      </c>
      <c r="L48">
        <f>G48&gt;164</f>
        <v>1</v>
      </c>
      <c r="M48">
        <f>H48&lt;=5</f>
        <v>1</v>
      </c>
      <c r="N48">
        <f>H48&gt;5</f>
        <v>0</v>
      </c>
      <c r="O48">
        <f>I48&lt;=7</f>
        <v>1</v>
      </c>
      <c r="P48">
        <f>I48&gt;7</f>
        <v>0</v>
      </c>
      <c r="Q48">
        <f>J48&lt;=10</f>
        <v>0</v>
      </c>
      <c r="R48">
        <f>J48&gt;10</f>
        <v>1</v>
      </c>
    </row>
    <row r="49" spans="2:18" x14ac:dyDescent="0.25">
      <c r="B49" s="7" t="s">
        <v>23</v>
      </c>
      <c r="C49" t="s">
        <v>181</v>
      </c>
      <c r="D49" t="s">
        <v>182</v>
      </c>
      <c r="E49" t="s">
        <v>183</v>
      </c>
      <c r="F49" t="s">
        <v>184</v>
      </c>
      <c r="G49" s="8">
        <v>260</v>
      </c>
      <c r="H49" s="9">
        <v>16</v>
      </c>
      <c r="I49" s="9">
        <v>15</v>
      </c>
      <c r="J49" s="9">
        <v>14</v>
      </c>
      <c r="K49">
        <f>G49&lt;=164</f>
        <v>0</v>
      </c>
      <c r="L49">
        <f>G49&gt;164</f>
        <v>1</v>
      </c>
      <c r="M49">
        <f>H49&lt;=5</f>
        <v>0</v>
      </c>
      <c r="N49">
        <f>H49&gt;5</f>
        <v>1</v>
      </c>
      <c r="O49">
        <f>I49&lt;=7</f>
        <v>0</v>
      </c>
      <c r="P49">
        <f>I49&gt;7</f>
        <v>1</v>
      </c>
      <c r="Q49">
        <f>J49&lt;=10</f>
        <v>0</v>
      </c>
      <c r="R49">
        <f>J49&gt;10</f>
        <v>1</v>
      </c>
    </row>
    <row r="50" spans="2:18" x14ac:dyDescent="0.25">
      <c r="B50" s="7" t="s">
        <v>23</v>
      </c>
      <c r="C50" t="s">
        <v>185</v>
      </c>
      <c r="D50" t="s">
        <v>186</v>
      </c>
      <c r="E50" t="s">
        <v>187</v>
      </c>
      <c r="F50" t="s">
        <v>188</v>
      </c>
      <c r="G50" s="8">
        <v>190</v>
      </c>
      <c r="H50" s="9">
        <v>10</v>
      </c>
      <c r="I50" s="9">
        <v>8</v>
      </c>
      <c r="J50" s="9">
        <v>16</v>
      </c>
      <c r="K50">
        <f>G50&lt;=164</f>
        <v>0</v>
      </c>
      <c r="L50">
        <f>G50&gt;164</f>
        <v>1</v>
      </c>
      <c r="M50">
        <f>H50&lt;=5</f>
        <v>0</v>
      </c>
      <c r="N50">
        <f>H50&gt;5</f>
        <v>1</v>
      </c>
      <c r="O50">
        <f>I50&lt;=7</f>
        <v>0</v>
      </c>
      <c r="P50">
        <f>I50&gt;7</f>
        <v>1</v>
      </c>
      <c r="Q50">
        <f>J50&lt;=10</f>
        <v>0</v>
      </c>
      <c r="R50">
        <f>J50&gt;10</f>
        <v>1</v>
      </c>
    </row>
    <row r="51" spans="2:18" x14ac:dyDescent="0.25">
      <c r="B51" s="7" t="s">
        <v>23</v>
      </c>
      <c r="C51" t="s">
        <v>189</v>
      </c>
      <c r="D51" t="s">
        <v>190</v>
      </c>
      <c r="E51" t="s">
        <v>191</v>
      </c>
      <c r="F51" t="s">
        <v>192</v>
      </c>
      <c r="G51" s="8">
        <v>130</v>
      </c>
      <c r="H51" s="9">
        <v>2</v>
      </c>
      <c r="I51" s="9">
        <v>6</v>
      </c>
      <c r="J51" s="9">
        <v>22</v>
      </c>
      <c r="K51">
        <f>G51&lt;=164</f>
        <v>1</v>
      </c>
      <c r="L51">
        <f>G51&gt;164</f>
        <v>0</v>
      </c>
      <c r="M51">
        <f>H51&lt;=5</f>
        <v>1</v>
      </c>
      <c r="N51">
        <f>H51&gt;5</f>
        <v>0</v>
      </c>
      <c r="O51">
        <f>I51&lt;=7</f>
        <v>1</v>
      </c>
      <c r="P51">
        <f>I51&gt;7</f>
        <v>0</v>
      </c>
      <c r="Q51">
        <f>J51&lt;=10</f>
        <v>0</v>
      </c>
      <c r="R51">
        <f>J51&gt;10</f>
        <v>1</v>
      </c>
    </row>
    <row r="52" spans="2:18" x14ac:dyDescent="0.25">
      <c r="B52" s="7" t="s">
        <v>23</v>
      </c>
      <c r="C52" t="s">
        <v>193</v>
      </c>
      <c r="D52" t="s">
        <v>194</v>
      </c>
      <c r="E52" t="s">
        <v>195</v>
      </c>
      <c r="F52" t="s">
        <v>196</v>
      </c>
      <c r="G52" s="8">
        <v>100</v>
      </c>
      <c r="H52" s="9">
        <v>0.5</v>
      </c>
      <c r="I52" s="9">
        <v>4</v>
      </c>
      <c r="J52" s="9">
        <v>20</v>
      </c>
      <c r="K52">
        <f>G52&lt;=164</f>
        <v>1</v>
      </c>
      <c r="L52">
        <f>G52&gt;164</f>
        <v>0</v>
      </c>
      <c r="M52">
        <f>H52&lt;=5</f>
        <v>1</v>
      </c>
      <c r="N52">
        <f>H52&gt;5</f>
        <v>0</v>
      </c>
      <c r="O52">
        <f>I52&lt;=7</f>
        <v>1</v>
      </c>
      <c r="P52">
        <f>I52&gt;7</f>
        <v>0</v>
      </c>
      <c r="Q52">
        <f>J52&lt;=10</f>
        <v>0</v>
      </c>
      <c r="R52">
        <f>J52&gt;10</f>
        <v>1</v>
      </c>
    </row>
    <row r="53" spans="2:18" x14ac:dyDescent="0.25">
      <c r="B53" s="7" t="s">
        <v>23</v>
      </c>
      <c r="C53" t="s">
        <v>197</v>
      </c>
      <c r="D53" t="s">
        <v>198</v>
      </c>
      <c r="E53" t="s">
        <v>199</v>
      </c>
      <c r="F53" t="s">
        <v>200</v>
      </c>
      <c r="G53" s="8">
        <v>150</v>
      </c>
      <c r="H53" s="9">
        <v>8</v>
      </c>
      <c r="I53" s="9">
        <v>13</v>
      </c>
      <c r="J53" s="9">
        <v>6</v>
      </c>
      <c r="K53">
        <f>G53&lt;=164</f>
        <v>1</v>
      </c>
      <c r="L53">
        <f>G53&gt;164</f>
        <v>0</v>
      </c>
      <c r="M53">
        <f>H53&lt;=5</f>
        <v>0</v>
      </c>
      <c r="N53">
        <f>H53&gt;5</f>
        <v>1</v>
      </c>
      <c r="O53">
        <f>I53&lt;=7</f>
        <v>0</v>
      </c>
      <c r="P53">
        <f>I53&gt;7</f>
        <v>1</v>
      </c>
      <c r="Q53">
        <f>J53&lt;=10</f>
        <v>1</v>
      </c>
      <c r="R53">
        <f>J53&gt;10</f>
        <v>0</v>
      </c>
    </row>
    <row r="54" spans="2:18" x14ac:dyDescent="0.25">
      <c r="B54" s="7" t="s">
        <v>23</v>
      </c>
      <c r="C54" t="s">
        <v>201</v>
      </c>
      <c r="D54" t="s">
        <v>202</v>
      </c>
      <c r="E54" t="s">
        <v>203</v>
      </c>
      <c r="F54" t="s">
        <v>204</v>
      </c>
      <c r="G54" s="8">
        <v>170</v>
      </c>
      <c r="H54" s="9">
        <v>8</v>
      </c>
      <c r="I54" s="9">
        <v>15</v>
      </c>
      <c r="J54" s="9">
        <v>10</v>
      </c>
      <c r="K54">
        <f>G54&lt;=164</f>
        <v>0</v>
      </c>
      <c r="L54">
        <f>G54&gt;164</f>
        <v>1</v>
      </c>
      <c r="M54">
        <f>H54&lt;=5</f>
        <v>0</v>
      </c>
      <c r="N54">
        <f>H54&gt;5</f>
        <v>1</v>
      </c>
      <c r="O54">
        <f>I54&lt;=7</f>
        <v>0</v>
      </c>
      <c r="P54">
        <f>I54&gt;7</f>
        <v>1</v>
      </c>
      <c r="Q54">
        <f>J54&lt;=10</f>
        <v>1</v>
      </c>
      <c r="R54">
        <f>J54&gt;10</f>
        <v>0</v>
      </c>
    </row>
    <row r="55" spans="2:18" x14ac:dyDescent="0.25">
      <c r="B55" s="7" t="s">
        <v>23</v>
      </c>
      <c r="C55" t="s">
        <v>205</v>
      </c>
      <c r="D55" t="s">
        <v>206</v>
      </c>
      <c r="E55" t="s">
        <v>207</v>
      </c>
      <c r="F55" t="s">
        <v>208</v>
      </c>
      <c r="G55" s="8">
        <v>350</v>
      </c>
      <c r="H55" s="9">
        <v>24</v>
      </c>
      <c r="I55" s="9">
        <v>10</v>
      </c>
      <c r="J55" s="9">
        <v>24</v>
      </c>
      <c r="K55">
        <f>G55&lt;=164</f>
        <v>0</v>
      </c>
      <c r="L55">
        <f>G55&gt;164</f>
        <v>1</v>
      </c>
      <c r="M55">
        <f>H55&lt;=5</f>
        <v>0</v>
      </c>
      <c r="N55">
        <f>H55&gt;5</f>
        <v>1</v>
      </c>
      <c r="O55">
        <f>I55&lt;=7</f>
        <v>0</v>
      </c>
      <c r="P55">
        <f>I55&gt;7</f>
        <v>1</v>
      </c>
      <c r="Q55">
        <f>J55&lt;=10</f>
        <v>0</v>
      </c>
      <c r="R55">
        <f>J55&gt;10</f>
        <v>1</v>
      </c>
    </row>
    <row r="56" spans="2:18" x14ac:dyDescent="0.25">
      <c r="B56" s="7" t="s">
        <v>23</v>
      </c>
      <c r="C56" t="s">
        <v>209</v>
      </c>
      <c r="D56" t="s">
        <v>210</v>
      </c>
      <c r="E56" t="s">
        <v>211</v>
      </c>
      <c r="F56" t="s">
        <v>212</v>
      </c>
      <c r="G56" s="8">
        <v>180</v>
      </c>
      <c r="H56" s="9">
        <v>11</v>
      </c>
      <c r="I56" s="9">
        <v>10</v>
      </c>
      <c r="J56" s="9">
        <v>9</v>
      </c>
      <c r="K56">
        <f>G56&lt;=164</f>
        <v>0</v>
      </c>
      <c r="L56">
        <f>G56&gt;164</f>
        <v>1</v>
      </c>
      <c r="M56">
        <f>H56&lt;=5</f>
        <v>0</v>
      </c>
      <c r="N56">
        <f>H56&gt;5</f>
        <v>1</v>
      </c>
      <c r="O56">
        <f>I56&lt;=7</f>
        <v>0</v>
      </c>
      <c r="P56">
        <f>I56&gt;7</f>
        <v>1</v>
      </c>
      <c r="Q56">
        <f>J56&lt;=10</f>
        <v>1</v>
      </c>
      <c r="R56">
        <f>J56&gt;10</f>
        <v>0</v>
      </c>
    </row>
    <row r="57" spans="2:18" x14ac:dyDescent="0.25">
      <c r="B57" s="7" t="s">
        <v>44</v>
      </c>
      <c r="C57" t="s">
        <v>213</v>
      </c>
      <c r="D57" t="s">
        <v>214</v>
      </c>
      <c r="E57" t="s">
        <v>215</v>
      </c>
      <c r="F57" t="s">
        <v>216</v>
      </c>
      <c r="G57" s="8">
        <v>297</v>
      </c>
      <c r="H57" s="9">
        <v>22</v>
      </c>
      <c r="I57" s="9">
        <v>13</v>
      </c>
      <c r="J57" s="9">
        <v>12</v>
      </c>
      <c r="K57">
        <f>G57&lt;=164</f>
        <v>0</v>
      </c>
      <c r="L57">
        <f>G57&gt;164</f>
        <v>1</v>
      </c>
      <c r="M57">
        <f>H57&lt;=5</f>
        <v>0</v>
      </c>
      <c r="N57">
        <f>H57&gt;5</f>
        <v>1</v>
      </c>
      <c r="O57">
        <f>I57&lt;=7</f>
        <v>0</v>
      </c>
      <c r="P57">
        <f>I57&gt;7</f>
        <v>1</v>
      </c>
      <c r="Q57">
        <f>J57&lt;=10</f>
        <v>0</v>
      </c>
      <c r="R57">
        <f>J57&gt;10</f>
        <v>1</v>
      </c>
    </row>
    <row r="58" spans="2:18" x14ac:dyDescent="0.25">
      <c r="B58" s="7" t="s">
        <v>23</v>
      </c>
      <c r="C58" t="s">
        <v>217</v>
      </c>
      <c r="D58" t="s">
        <v>218</v>
      </c>
      <c r="E58" t="s">
        <v>219</v>
      </c>
      <c r="F58" t="s">
        <v>220</v>
      </c>
      <c r="G58" s="8">
        <v>340</v>
      </c>
      <c r="H58" s="9">
        <v>12</v>
      </c>
      <c r="I58" s="9">
        <v>3</v>
      </c>
      <c r="J58" s="9">
        <v>55</v>
      </c>
      <c r="K58">
        <f>G58&lt;=164</f>
        <v>0</v>
      </c>
      <c r="L58">
        <f>G58&gt;164</f>
        <v>1</v>
      </c>
      <c r="M58">
        <f>H58&lt;=5</f>
        <v>0</v>
      </c>
      <c r="N58">
        <f>H58&gt;5</f>
        <v>1</v>
      </c>
      <c r="O58">
        <f>I58&lt;=7</f>
        <v>1</v>
      </c>
      <c r="P58">
        <f>I58&gt;7</f>
        <v>0</v>
      </c>
      <c r="Q58">
        <f>J58&lt;=10</f>
        <v>0</v>
      </c>
      <c r="R58">
        <f>J58&gt;10</f>
        <v>1</v>
      </c>
    </row>
    <row r="59" spans="2:18" x14ac:dyDescent="0.25">
      <c r="B59" s="7" t="s">
        <v>23</v>
      </c>
      <c r="C59" t="s">
        <v>221</v>
      </c>
      <c r="D59" t="s">
        <v>222</v>
      </c>
      <c r="E59" t="s">
        <v>223</v>
      </c>
      <c r="F59" t="s">
        <v>224</v>
      </c>
      <c r="G59" s="8">
        <v>360</v>
      </c>
      <c r="H59" s="9">
        <v>14</v>
      </c>
      <c r="I59" s="9">
        <v>7</v>
      </c>
      <c r="J59" s="9">
        <v>52</v>
      </c>
      <c r="K59">
        <f>G59&lt;=164</f>
        <v>0</v>
      </c>
      <c r="L59">
        <f>G59&gt;164</f>
        <v>1</v>
      </c>
      <c r="M59">
        <f>H59&lt;=5</f>
        <v>0</v>
      </c>
      <c r="N59">
        <f>H59&gt;5</f>
        <v>1</v>
      </c>
      <c r="O59">
        <f>I59&lt;=7</f>
        <v>1</v>
      </c>
      <c r="P59">
        <f>I59&gt;7</f>
        <v>0</v>
      </c>
      <c r="Q59">
        <f>J59&lt;=10</f>
        <v>0</v>
      </c>
      <c r="R59">
        <f>J59&gt;10</f>
        <v>1</v>
      </c>
    </row>
    <row r="60" spans="2:18" x14ac:dyDescent="0.25">
      <c r="B60" s="7" t="s">
        <v>44</v>
      </c>
      <c r="C60" t="s">
        <v>225</v>
      </c>
      <c r="D60" t="s">
        <v>226</v>
      </c>
      <c r="E60" t="s">
        <v>227</v>
      </c>
      <c r="F60" t="s">
        <v>228</v>
      </c>
      <c r="G60" s="8">
        <v>190</v>
      </c>
      <c r="H60" s="9">
        <v>1</v>
      </c>
      <c r="I60" s="9">
        <v>6</v>
      </c>
      <c r="J60" s="9">
        <v>38</v>
      </c>
      <c r="K60">
        <f>G60&lt;=164</f>
        <v>0</v>
      </c>
      <c r="L60">
        <f>G60&gt;164</f>
        <v>1</v>
      </c>
      <c r="M60">
        <f>H60&lt;=5</f>
        <v>1</v>
      </c>
      <c r="N60">
        <f>H60&gt;5</f>
        <v>0</v>
      </c>
      <c r="O60">
        <f>I60&lt;=7</f>
        <v>1</v>
      </c>
      <c r="P60">
        <f>I60&gt;7</f>
        <v>0</v>
      </c>
      <c r="Q60">
        <f>J60&lt;=10</f>
        <v>0</v>
      </c>
      <c r="R60">
        <f>J60&gt;10</f>
        <v>1</v>
      </c>
    </row>
    <row r="61" spans="2:18" x14ac:dyDescent="0.25">
      <c r="B61" s="7" t="s">
        <v>23</v>
      </c>
      <c r="C61" t="s">
        <v>229</v>
      </c>
      <c r="D61" t="s">
        <v>230</v>
      </c>
      <c r="E61" t="s">
        <v>231</v>
      </c>
      <c r="F61" t="s">
        <v>232</v>
      </c>
      <c r="G61" s="8">
        <v>200</v>
      </c>
      <c r="H61" s="9">
        <v>12</v>
      </c>
      <c r="I61" s="9">
        <v>10</v>
      </c>
      <c r="J61" s="9">
        <v>12</v>
      </c>
      <c r="K61">
        <f>G61&lt;=164</f>
        <v>0</v>
      </c>
      <c r="L61">
        <f>G61&gt;164</f>
        <v>1</v>
      </c>
      <c r="M61">
        <f>H61&lt;=5</f>
        <v>0</v>
      </c>
      <c r="N61">
        <f>H61&gt;5</f>
        <v>1</v>
      </c>
      <c r="O61">
        <f>I61&lt;=7</f>
        <v>0</v>
      </c>
      <c r="P61">
        <f>I61&gt;7</f>
        <v>1</v>
      </c>
      <c r="Q61">
        <f>J61&lt;=10</f>
        <v>0</v>
      </c>
      <c r="R61">
        <f>J61&gt;10</f>
        <v>1</v>
      </c>
    </row>
    <row r="62" spans="2:18" x14ac:dyDescent="0.25">
      <c r="B62" s="7" t="s">
        <v>23</v>
      </c>
      <c r="C62" t="s">
        <v>233</v>
      </c>
      <c r="D62" t="s">
        <v>234</v>
      </c>
      <c r="E62" t="s">
        <v>235</v>
      </c>
      <c r="F62" t="s">
        <v>236</v>
      </c>
      <c r="G62" s="8">
        <v>270</v>
      </c>
      <c r="H62" s="9">
        <v>14</v>
      </c>
      <c r="I62" s="9">
        <v>15</v>
      </c>
      <c r="J62" s="9">
        <v>22</v>
      </c>
      <c r="K62">
        <f>G62&lt;=164</f>
        <v>0</v>
      </c>
      <c r="L62">
        <f>G62&gt;164</f>
        <v>1</v>
      </c>
      <c r="M62">
        <f>H62&lt;=5</f>
        <v>0</v>
      </c>
      <c r="N62">
        <f>H62&gt;5</f>
        <v>1</v>
      </c>
      <c r="O62">
        <f>I62&lt;=7</f>
        <v>0</v>
      </c>
      <c r="P62">
        <f>I62&gt;7</f>
        <v>1</v>
      </c>
      <c r="Q62">
        <f>J62&lt;=10</f>
        <v>0</v>
      </c>
      <c r="R62">
        <f>J62&gt;10</f>
        <v>1</v>
      </c>
    </row>
    <row r="63" spans="2:18" x14ac:dyDescent="0.25">
      <c r="B63" s="7" t="s">
        <v>23</v>
      </c>
      <c r="C63" t="s">
        <v>237</v>
      </c>
      <c r="D63" t="s">
        <v>238</v>
      </c>
      <c r="E63" t="s">
        <v>239</v>
      </c>
      <c r="F63" t="s">
        <v>240</v>
      </c>
      <c r="G63" s="8">
        <v>250</v>
      </c>
      <c r="H63" s="9">
        <v>15</v>
      </c>
      <c r="I63" s="9">
        <v>10</v>
      </c>
      <c r="J63" s="9">
        <v>20</v>
      </c>
      <c r="K63">
        <f>G63&lt;=164</f>
        <v>0</v>
      </c>
      <c r="L63">
        <f>G63&gt;164</f>
        <v>1</v>
      </c>
      <c r="M63">
        <f>H63&lt;=5</f>
        <v>0</v>
      </c>
      <c r="N63">
        <f>H63&gt;5</f>
        <v>1</v>
      </c>
      <c r="O63">
        <f>I63&lt;=7</f>
        <v>0</v>
      </c>
      <c r="P63">
        <f>I63&gt;7</f>
        <v>1</v>
      </c>
      <c r="Q63">
        <f>J63&lt;=10</f>
        <v>0</v>
      </c>
      <c r="R63">
        <f>J63&gt;10</f>
        <v>1</v>
      </c>
    </row>
    <row r="64" spans="2:18" x14ac:dyDescent="0.25">
      <c r="B64" s="7" t="s">
        <v>23</v>
      </c>
      <c r="C64" t="s">
        <v>241</v>
      </c>
      <c r="D64" t="s">
        <v>242</v>
      </c>
      <c r="E64" t="s">
        <v>243</v>
      </c>
      <c r="F64" t="s">
        <v>244</v>
      </c>
      <c r="G64" s="8">
        <v>160</v>
      </c>
      <c r="H64" s="9">
        <v>7</v>
      </c>
      <c r="I64" s="9">
        <v>7</v>
      </c>
      <c r="J64" s="9">
        <v>17</v>
      </c>
      <c r="K64">
        <f>G64&lt;=164</f>
        <v>1</v>
      </c>
      <c r="L64">
        <f>G64&gt;164</f>
        <v>0</v>
      </c>
      <c r="M64">
        <f>H64&lt;=5</f>
        <v>0</v>
      </c>
      <c r="N64">
        <f>H64&gt;5</f>
        <v>1</v>
      </c>
      <c r="O64">
        <f>I64&lt;=7</f>
        <v>1</v>
      </c>
      <c r="P64">
        <f>I64&gt;7</f>
        <v>0</v>
      </c>
      <c r="Q64">
        <f>J64&lt;=10</f>
        <v>0</v>
      </c>
      <c r="R64">
        <f>J64&gt;10</f>
        <v>1</v>
      </c>
    </row>
    <row r="65" spans="2:18" x14ac:dyDescent="0.25">
      <c r="B65" s="7" t="s">
        <v>23</v>
      </c>
      <c r="C65" t="s">
        <v>245</v>
      </c>
      <c r="D65" t="s">
        <v>246</v>
      </c>
      <c r="E65" t="s">
        <v>247</v>
      </c>
      <c r="F65" t="s">
        <v>248</v>
      </c>
      <c r="G65" s="8">
        <v>210</v>
      </c>
      <c r="H65" s="9">
        <v>10</v>
      </c>
      <c r="I65" s="9">
        <v>20</v>
      </c>
      <c r="J65" s="9">
        <v>10</v>
      </c>
      <c r="K65">
        <f>G65&lt;=164</f>
        <v>0</v>
      </c>
      <c r="L65">
        <f>G65&gt;164</f>
        <v>1</v>
      </c>
      <c r="M65">
        <f>H65&lt;=5</f>
        <v>0</v>
      </c>
      <c r="N65">
        <f>H65&gt;5</f>
        <v>1</v>
      </c>
      <c r="O65">
        <f>I65&lt;=7</f>
        <v>0</v>
      </c>
      <c r="P65">
        <f>I65&gt;7</f>
        <v>1</v>
      </c>
      <c r="Q65">
        <f>J65&lt;=10</f>
        <v>1</v>
      </c>
      <c r="R65">
        <f>J65&gt;10</f>
        <v>0</v>
      </c>
    </row>
    <row r="66" spans="2:18" x14ac:dyDescent="0.25">
      <c r="B66" s="7" t="s">
        <v>23</v>
      </c>
      <c r="C66" t="s">
        <v>249</v>
      </c>
      <c r="D66" t="s">
        <v>250</v>
      </c>
      <c r="E66" t="s">
        <v>251</v>
      </c>
      <c r="F66" t="s">
        <v>252</v>
      </c>
      <c r="G66" s="8">
        <v>190</v>
      </c>
      <c r="H66" s="9">
        <v>13</v>
      </c>
      <c r="I66" s="9">
        <v>17</v>
      </c>
      <c r="J66" s="9">
        <v>1</v>
      </c>
      <c r="K66">
        <f>G66&lt;=164</f>
        <v>0</v>
      </c>
      <c r="L66">
        <f>G66&gt;164</f>
        <v>1</v>
      </c>
      <c r="M66">
        <f>H66&lt;=5</f>
        <v>0</v>
      </c>
      <c r="N66">
        <f>H66&gt;5</f>
        <v>1</v>
      </c>
      <c r="O66">
        <f>I66&lt;=7</f>
        <v>0</v>
      </c>
      <c r="P66">
        <f>I66&gt;7</f>
        <v>1</v>
      </c>
      <c r="Q66">
        <f>J66&lt;=10</f>
        <v>1</v>
      </c>
      <c r="R66">
        <f>J66&gt;10</f>
        <v>0</v>
      </c>
    </row>
    <row r="67" spans="2:18" x14ac:dyDescent="0.25">
      <c r="B67" s="7" t="s">
        <v>23</v>
      </c>
      <c r="C67" t="s">
        <v>253</v>
      </c>
      <c r="D67" t="s">
        <v>254</v>
      </c>
      <c r="E67" t="s">
        <v>255</v>
      </c>
      <c r="F67" t="s">
        <v>256</v>
      </c>
      <c r="G67" s="8">
        <v>90</v>
      </c>
      <c r="H67" s="9">
        <v>5</v>
      </c>
      <c r="I67" s="9">
        <v>4</v>
      </c>
      <c r="J67" s="9">
        <v>8</v>
      </c>
      <c r="K67">
        <f>G67&lt;=164</f>
        <v>1</v>
      </c>
      <c r="L67">
        <f>G67&gt;164</f>
        <v>0</v>
      </c>
      <c r="M67">
        <f>H67&lt;=5</f>
        <v>1</v>
      </c>
      <c r="N67">
        <f>H67&gt;5</f>
        <v>0</v>
      </c>
      <c r="O67">
        <f>I67&lt;=7</f>
        <v>1</v>
      </c>
      <c r="P67">
        <f>I67&gt;7</f>
        <v>0</v>
      </c>
      <c r="Q67">
        <f>J67&lt;=10</f>
        <v>1</v>
      </c>
      <c r="R67">
        <f>J67&gt;10</f>
        <v>0</v>
      </c>
    </row>
    <row r="68" spans="2:18" x14ac:dyDescent="0.25">
      <c r="B68" s="7" t="s">
        <v>23</v>
      </c>
      <c r="C68" t="s">
        <v>257</v>
      </c>
      <c r="D68" t="s">
        <v>258</v>
      </c>
      <c r="E68" t="s">
        <v>259</v>
      </c>
      <c r="F68" t="s">
        <v>260</v>
      </c>
      <c r="G68" s="8">
        <v>230</v>
      </c>
      <c r="H68" s="9">
        <v>5</v>
      </c>
      <c r="I68" s="9">
        <v>6</v>
      </c>
      <c r="J68" s="9">
        <v>40</v>
      </c>
      <c r="K68">
        <f>G68&lt;=164</f>
        <v>0</v>
      </c>
      <c r="L68">
        <f>G68&gt;164</f>
        <v>1</v>
      </c>
      <c r="M68">
        <f>H68&lt;=5</f>
        <v>1</v>
      </c>
      <c r="N68">
        <f>H68&gt;5</f>
        <v>0</v>
      </c>
      <c r="O68">
        <f>I68&lt;=7</f>
        <v>1</v>
      </c>
      <c r="P68">
        <f>I68&gt;7</f>
        <v>0</v>
      </c>
      <c r="Q68">
        <f>J68&lt;=10</f>
        <v>0</v>
      </c>
      <c r="R68">
        <f>J68&gt;10</f>
        <v>1</v>
      </c>
    </row>
    <row r="69" spans="2:18" x14ac:dyDescent="0.25">
      <c r="B69" s="7" t="s">
        <v>23</v>
      </c>
      <c r="C69" t="s">
        <v>261</v>
      </c>
      <c r="D69" t="s">
        <v>262</v>
      </c>
      <c r="E69" t="s">
        <v>263</v>
      </c>
      <c r="F69" t="s">
        <v>264</v>
      </c>
      <c r="G69" s="8">
        <v>340</v>
      </c>
      <c r="H69" s="9">
        <v>14</v>
      </c>
      <c r="I69" s="9">
        <v>10</v>
      </c>
      <c r="J69" s="9">
        <v>45</v>
      </c>
      <c r="K69">
        <f>G69&lt;=164</f>
        <v>0</v>
      </c>
      <c r="L69">
        <f>G69&gt;164</f>
        <v>1</v>
      </c>
      <c r="M69">
        <f>H69&lt;=5</f>
        <v>0</v>
      </c>
      <c r="N69">
        <f>H69&gt;5</f>
        <v>1</v>
      </c>
      <c r="O69">
        <f>I69&lt;=7</f>
        <v>0</v>
      </c>
      <c r="P69">
        <f>I69&gt;7</f>
        <v>1</v>
      </c>
      <c r="Q69">
        <f>J69&lt;=10</f>
        <v>0</v>
      </c>
      <c r="R69">
        <f>J69&gt;10</f>
        <v>1</v>
      </c>
    </row>
    <row r="70" spans="2:18" x14ac:dyDescent="0.25">
      <c r="B70" s="7" t="s">
        <v>23</v>
      </c>
      <c r="C70" t="s">
        <v>265</v>
      </c>
      <c r="D70" t="s">
        <v>266</v>
      </c>
      <c r="E70" t="s">
        <v>267</v>
      </c>
      <c r="F70" t="s">
        <v>268</v>
      </c>
      <c r="G70" s="8">
        <v>170</v>
      </c>
      <c r="H70" s="9">
        <v>10</v>
      </c>
      <c r="I70" s="9">
        <v>14</v>
      </c>
      <c r="J70" s="9">
        <v>6</v>
      </c>
      <c r="K70">
        <f>G70&lt;=164</f>
        <v>0</v>
      </c>
      <c r="L70">
        <f>G70&gt;164</f>
        <v>1</v>
      </c>
      <c r="M70">
        <f>H70&lt;=5</f>
        <v>0</v>
      </c>
      <c r="N70">
        <f>H70&gt;5</f>
        <v>1</v>
      </c>
      <c r="O70">
        <f>I70&lt;=7</f>
        <v>0</v>
      </c>
      <c r="P70">
        <f>I70&gt;7</f>
        <v>1</v>
      </c>
      <c r="Q70">
        <f>J70&lt;=10</f>
        <v>1</v>
      </c>
      <c r="R70">
        <f>J70&gt;10</f>
        <v>0</v>
      </c>
    </row>
    <row r="71" spans="2:18" x14ac:dyDescent="0.25">
      <c r="B71" s="7" t="s">
        <v>23</v>
      </c>
      <c r="C71" t="s">
        <v>269</v>
      </c>
      <c r="D71" t="s">
        <v>270</v>
      </c>
      <c r="E71" t="s">
        <v>271</v>
      </c>
      <c r="F71" t="s">
        <v>272</v>
      </c>
      <c r="G71" s="8">
        <v>120</v>
      </c>
      <c r="H71" s="9">
        <v>8</v>
      </c>
      <c r="I71" s="9">
        <v>7</v>
      </c>
      <c r="J71" s="9">
        <v>5</v>
      </c>
      <c r="K71">
        <f>G71&lt;=164</f>
        <v>1</v>
      </c>
      <c r="L71">
        <f>G71&gt;164</f>
        <v>0</v>
      </c>
      <c r="M71">
        <f>H71&lt;=5</f>
        <v>0</v>
      </c>
      <c r="N71">
        <f>H71&gt;5</f>
        <v>1</v>
      </c>
      <c r="O71">
        <f>I71&lt;=7</f>
        <v>1</v>
      </c>
      <c r="P71">
        <f>I71&gt;7</f>
        <v>0</v>
      </c>
      <c r="Q71">
        <f>J71&lt;=10</f>
        <v>1</v>
      </c>
      <c r="R71">
        <f>J71&gt;10</f>
        <v>0</v>
      </c>
    </row>
    <row r="72" spans="2:18" x14ac:dyDescent="0.25">
      <c r="B72" s="7" t="s">
        <v>23</v>
      </c>
      <c r="C72" t="s">
        <v>273</v>
      </c>
      <c r="D72" t="s">
        <v>274</v>
      </c>
      <c r="E72" t="s">
        <v>275</v>
      </c>
      <c r="F72" t="s">
        <v>276</v>
      </c>
      <c r="G72" s="8">
        <v>170</v>
      </c>
      <c r="H72" s="9">
        <v>5</v>
      </c>
      <c r="I72" s="9">
        <v>29</v>
      </c>
      <c r="J72" s="9">
        <v>0</v>
      </c>
      <c r="K72">
        <f>G72&lt;=164</f>
        <v>0</v>
      </c>
      <c r="L72">
        <f>G72&gt;164</f>
        <v>1</v>
      </c>
      <c r="M72">
        <f>H72&lt;=5</f>
        <v>1</v>
      </c>
      <c r="N72">
        <f>H72&gt;5</f>
        <v>0</v>
      </c>
      <c r="O72">
        <f>I72&lt;=7</f>
        <v>0</v>
      </c>
      <c r="P72">
        <f>I72&gt;7</f>
        <v>1</v>
      </c>
      <c r="Q72">
        <f>J72&lt;=10</f>
        <v>1</v>
      </c>
      <c r="R72">
        <f>J72&gt;10</f>
        <v>0</v>
      </c>
    </row>
    <row r="73" spans="2:18" x14ac:dyDescent="0.25">
      <c r="B73" s="7" t="s">
        <v>23</v>
      </c>
      <c r="C73" t="s">
        <v>277</v>
      </c>
      <c r="D73" t="s">
        <v>278</v>
      </c>
      <c r="E73" t="s">
        <v>279</v>
      </c>
      <c r="F73" t="s">
        <v>280</v>
      </c>
      <c r="G73" s="8">
        <v>250</v>
      </c>
      <c r="H73" s="9">
        <v>8</v>
      </c>
      <c r="I73" s="9">
        <v>5</v>
      </c>
      <c r="J73" s="9">
        <v>38</v>
      </c>
      <c r="K73">
        <f>G73&lt;=164</f>
        <v>0</v>
      </c>
      <c r="L73">
        <f>G73&gt;164</f>
        <v>1</v>
      </c>
      <c r="M73">
        <f>H73&lt;=5</f>
        <v>0</v>
      </c>
      <c r="N73">
        <f>H73&gt;5</f>
        <v>1</v>
      </c>
      <c r="O73">
        <f>I73&lt;=7</f>
        <v>1</v>
      </c>
      <c r="P73">
        <f>I73&gt;7</f>
        <v>0</v>
      </c>
      <c r="Q73">
        <f>J73&lt;=10</f>
        <v>0</v>
      </c>
      <c r="R73">
        <f>J73&gt;10</f>
        <v>1</v>
      </c>
    </row>
    <row r="74" spans="2:18" x14ac:dyDescent="0.25">
      <c r="B74" s="7" t="s">
        <v>23</v>
      </c>
      <c r="C74" t="s">
        <v>281</v>
      </c>
      <c r="D74" t="s">
        <v>282</v>
      </c>
      <c r="E74" t="s">
        <v>283</v>
      </c>
      <c r="F74" t="s">
        <v>284</v>
      </c>
      <c r="G74" s="8">
        <v>130</v>
      </c>
      <c r="H74" s="9">
        <v>9</v>
      </c>
      <c r="I74" s="9">
        <v>10</v>
      </c>
      <c r="J74" s="9">
        <v>3</v>
      </c>
      <c r="K74">
        <f>G74&lt;=164</f>
        <v>1</v>
      </c>
      <c r="L74">
        <f>G74&gt;164</f>
        <v>0</v>
      </c>
      <c r="M74">
        <f>H74&lt;=5</f>
        <v>0</v>
      </c>
      <c r="N74">
        <f>H74&gt;5</f>
        <v>1</v>
      </c>
      <c r="O74">
        <f>I74&lt;=7</f>
        <v>0</v>
      </c>
      <c r="P74">
        <f>I74&gt;7</f>
        <v>1</v>
      </c>
      <c r="Q74">
        <f>J74&lt;=10</f>
        <v>1</v>
      </c>
      <c r="R74">
        <f>J74&gt;10</f>
        <v>0</v>
      </c>
    </row>
    <row r="75" spans="2:18" x14ac:dyDescent="0.25">
      <c r="B75" s="7" t="s">
        <v>23</v>
      </c>
      <c r="C75" t="s">
        <v>285</v>
      </c>
      <c r="D75" t="s">
        <v>286</v>
      </c>
      <c r="E75" t="s">
        <v>287</v>
      </c>
      <c r="F75" t="s">
        <v>288</v>
      </c>
      <c r="G75" s="8">
        <v>230</v>
      </c>
      <c r="H75" s="9">
        <v>12</v>
      </c>
      <c r="I75" s="9">
        <v>15</v>
      </c>
      <c r="J75" s="9">
        <v>16</v>
      </c>
      <c r="K75">
        <f>G75&lt;=164</f>
        <v>0</v>
      </c>
      <c r="L75">
        <f>G75&gt;164</f>
        <v>1</v>
      </c>
      <c r="M75">
        <f>H75&lt;=5</f>
        <v>0</v>
      </c>
      <c r="N75">
        <f>H75&gt;5</f>
        <v>1</v>
      </c>
      <c r="O75">
        <f>I75&lt;=7</f>
        <v>0</v>
      </c>
      <c r="P75">
        <f>I75&gt;7</f>
        <v>1</v>
      </c>
      <c r="Q75">
        <f>J75&lt;=10</f>
        <v>0</v>
      </c>
      <c r="R75">
        <f>J75&gt;10</f>
        <v>1</v>
      </c>
    </row>
    <row r="76" spans="2:18" x14ac:dyDescent="0.25">
      <c r="B76" s="7" t="s">
        <v>23</v>
      </c>
      <c r="C76" t="s">
        <v>289</v>
      </c>
      <c r="D76" t="s">
        <v>290</v>
      </c>
      <c r="E76" t="s">
        <v>291</v>
      </c>
      <c r="F76" t="s">
        <v>292</v>
      </c>
      <c r="G76" s="8">
        <v>130</v>
      </c>
      <c r="H76" s="9">
        <v>4</v>
      </c>
      <c r="I76" s="9">
        <v>8</v>
      </c>
      <c r="J76" s="9">
        <v>16</v>
      </c>
      <c r="K76">
        <f>G76&lt;=164</f>
        <v>1</v>
      </c>
      <c r="L76">
        <f>G76&gt;164</f>
        <v>0</v>
      </c>
      <c r="M76">
        <f>H76&lt;=5</f>
        <v>1</v>
      </c>
      <c r="N76">
        <f>H76&gt;5</f>
        <v>0</v>
      </c>
      <c r="O76">
        <f>I76&lt;=7</f>
        <v>0</v>
      </c>
      <c r="P76">
        <f>I76&gt;7</f>
        <v>1</v>
      </c>
      <c r="Q76">
        <f>J76&lt;=10</f>
        <v>0</v>
      </c>
      <c r="R76">
        <f>J76&gt;10</f>
        <v>1</v>
      </c>
    </row>
    <row r="77" spans="2:18" x14ac:dyDescent="0.25">
      <c r="B77" s="7" t="s">
        <v>23</v>
      </c>
      <c r="C77" t="s">
        <v>293</v>
      </c>
      <c r="D77" t="s">
        <v>294</v>
      </c>
      <c r="E77" t="s">
        <v>295</v>
      </c>
      <c r="F77" t="s">
        <v>296</v>
      </c>
      <c r="G77" s="8">
        <v>165</v>
      </c>
      <c r="H77" s="9">
        <v>6</v>
      </c>
      <c r="I77" s="9">
        <v>9</v>
      </c>
      <c r="J77" s="9">
        <v>20</v>
      </c>
      <c r="K77">
        <f>G77&lt;=164</f>
        <v>0</v>
      </c>
      <c r="L77">
        <f>G77&gt;164</f>
        <v>1</v>
      </c>
      <c r="M77">
        <f>H77&lt;=5</f>
        <v>0</v>
      </c>
      <c r="N77">
        <f>H77&gt;5</f>
        <v>1</v>
      </c>
      <c r="O77">
        <f>I77&lt;=7</f>
        <v>0</v>
      </c>
      <c r="P77">
        <f>I77&gt;7</f>
        <v>1</v>
      </c>
      <c r="Q77">
        <f>J77&lt;=10</f>
        <v>0</v>
      </c>
      <c r="R77">
        <f>J77&gt;10</f>
        <v>1</v>
      </c>
    </row>
    <row r="78" spans="2:18" x14ac:dyDescent="0.25">
      <c r="B78" s="7" t="s">
        <v>23</v>
      </c>
      <c r="C78" t="s">
        <v>297</v>
      </c>
      <c r="D78" t="s">
        <v>298</v>
      </c>
      <c r="E78" t="s">
        <v>299</v>
      </c>
      <c r="F78" t="s">
        <v>300</v>
      </c>
      <c r="G78" s="8">
        <v>250</v>
      </c>
      <c r="H78" s="9">
        <v>15</v>
      </c>
      <c r="I78" s="9">
        <v>21</v>
      </c>
      <c r="J78" s="9">
        <v>8</v>
      </c>
      <c r="K78">
        <f>G78&lt;=164</f>
        <v>0</v>
      </c>
      <c r="L78">
        <f>G78&gt;164</f>
        <v>1</v>
      </c>
      <c r="M78">
        <f>H78&lt;=5</f>
        <v>0</v>
      </c>
      <c r="N78">
        <f>H78&gt;5</f>
        <v>1</v>
      </c>
      <c r="O78">
        <f>I78&lt;=7</f>
        <v>0</v>
      </c>
      <c r="P78">
        <f>I78&gt;7</f>
        <v>1</v>
      </c>
      <c r="Q78">
        <f>J78&lt;=10</f>
        <v>1</v>
      </c>
      <c r="R78">
        <f>J78&gt;10</f>
        <v>0</v>
      </c>
    </row>
    <row r="79" spans="2:18" x14ac:dyDescent="0.25">
      <c r="B79" s="7" t="s">
        <v>23</v>
      </c>
      <c r="C79" t="s">
        <v>301</v>
      </c>
      <c r="D79" t="s">
        <v>302</v>
      </c>
      <c r="E79" t="s">
        <v>303</v>
      </c>
      <c r="F79" t="s">
        <v>304</v>
      </c>
      <c r="G79" s="8">
        <v>230</v>
      </c>
      <c r="H79" s="9">
        <v>14</v>
      </c>
      <c r="I79" s="9">
        <v>9</v>
      </c>
      <c r="J79" s="9">
        <v>17</v>
      </c>
      <c r="K79">
        <f>G79&lt;=164</f>
        <v>0</v>
      </c>
      <c r="L79">
        <f>G79&gt;164</f>
        <v>1</v>
      </c>
      <c r="M79">
        <f>H79&lt;=5</f>
        <v>0</v>
      </c>
      <c r="N79">
        <f>H79&gt;5</f>
        <v>1</v>
      </c>
      <c r="O79">
        <f>I79&lt;=7</f>
        <v>0</v>
      </c>
      <c r="P79">
        <f>I79&gt;7</f>
        <v>1</v>
      </c>
      <c r="Q79">
        <f>J79&lt;=10</f>
        <v>0</v>
      </c>
      <c r="R79">
        <f>J79&gt;10</f>
        <v>1</v>
      </c>
    </row>
    <row r="80" spans="2:18" x14ac:dyDescent="0.25">
      <c r="B80" s="7" t="s">
        <v>23</v>
      </c>
      <c r="C80" t="s">
        <v>305</v>
      </c>
      <c r="D80" t="s">
        <v>306</v>
      </c>
      <c r="E80" t="s">
        <v>307</v>
      </c>
      <c r="F80" t="s">
        <v>308</v>
      </c>
      <c r="G80" s="8">
        <v>200</v>
      </c>
      <c r="H80" s="9">
        <v>10</v>
      </c>
      <c r="I80" s="9">
        <v>5</v>
      </c>
      <c r="J80" s="9">
        <v>22</v>
      </c>
      <c r="K80">
        <f>G80&lt;=164</f>
        <v>0</v>
      </c>
      <c r="L80">
        <f>G80&gt;164</f>
        <v>1</v>
      </c>
      <c r="M80">
        <f>H80&lt;=5</f>
        <v>0</v>
      </c>
      <c r="N80">
        <f>H80&gt;5</f>
        <v>1</v>
      </c>
      <c r="O80">
        <f>I80&lt;=7</f>
        <v>1</v>
      </c>
      <c r="P80">
        <f>I80&gt;7</f>
        <v>0</v>
      </c>
      <c r="Q80">
        <f>J80&lt;=10</f>
        <v>0</v>
      </c>
      <c r="R80">
        <f>J80&gt;10</f>
        <v>1</v>
      </c>
    </row>
    <row r="81" spans="2:18" x14ac:dyDescent="0.25">
      <c r="B81" s="7" t="s">
        <v>44</v>
      </c>
      <c r="C81" t="s">
        <v>309</v>
      </c>
      <c r="D81" t="s">
        <v>310</v>
      </c>
      <c r="E81" t="s">
        <v>311</v>
      </c>
      <c r="F81" t="s">
        <v>312</v>
      </c>
      <c r="G81" s="8">
        <v>73</v>
      </c>
      <c r="H81" s="9">
        <v>0.5</v>
      </c>
      <c r="I81" s="9">
        <v>1.8</v>
      </c>
      <c r="J81" s="9">
        <v>16</v>
      </c>
      <c r="K81">
        <f>G81&lt;=164</f>
        <v>1</v>
      </c>
      <c r="L81">
        <f>G81&gt;164</f>
        <v>0</v>
      </c>
      <c r="M81">
        <f>H81&lt;=5</f>
        <v>1</v>
      </c>
      <c r="N81">
        <f>H81&gt;5</f>
        <v>0</v>
      </c>
      <c r="O81">
        <f>I81&lt;=7</f>
        <v>1</v>
      </c>
      <c r="P81">
        <f>I81&gt;7</f>
        <v>0</v>
      </c>
      <c r="Q81">
        <f>J81&lt;=10</f>
        <v>0</v>
      </c>
      <c r="R81">
        <f>J81&gt;10</f>
        <v>1</v>
      </c>
    </row>
    <row r="82" spans="2:18" x14ac:dyDescent="0.25">
      <c r="B82" s="7" t="s">
        <v>44</v>
      </c>
      <c r="C82" t="s">
        <v>313</v>
      </c>
      <c r="D82" t="s">
        <v>314</v>
      </c>
      <c r="E82" t="s">
        <v>315</v>
      </c>
      <c r="F82" t="s">
        <v>316</v>
      </c>
      <c r="G82" s="8">
        <v>120</v>
      </c>
      <c r="H82" s="9">
        <v>2.6</v>
      </c>
      <c r="I82" s="9">
        <v>23</v>
      </c>
      <c r="J82" s="9">
        <v>0</v>
      </c>
      <c r="K82">
        <f>G82&lt;=164</f>
        <v>1</v>
      </c>
      <c r="L82">
        <f>G82&gt;164</f>
        <v>0</v>
      </c>
      <c r="M82">
        <f>H82&lt;=5</f>
        <v>1</v>
      </c>
      <c r="N82">
        <f>H82&gt;5</f>
        <v>0</v>
      </c>
      <c r="O82">
        <f>I82&lt;=7</f>
        <v>0</v>
      </c>
      <c r="P82">
        <f>I82&gt;7</f>
        <v>1</v>
      </c>
      <c r="Q82">
        <f>J82&lt;=10</f>
        <v>1</v>
      </c>
      <c r="R82">
        <f>J82&gt;10</f>
        <v>0</v>
      </c>
    </row>
    <row r="83" spans="2:18" x14ac:dyDescent="0.25">
      <c r="B83" s="7" t="s">
        <v>44</v>
      </c>
      <c r="C83" t="s">
        <v>317</v>
      </c>
      <c r="D83" t="s">
        <v>318</v>
      </c>
      <c r="E83" t="s">
        <v>319</v>
      </c>
      <c r="F83" t="s">
        <v>320</v>
      </c>
      <c r="G83" s="8">
        <v>165</v>
      </c>
      <c r="H83" s="9">
        <v>3.6</v>
      </c>
      <c r="I83" s="9">
        <v>31</v>
      </c>
      <c r="J83" s="9">
        <v>0</v>
      </c>
      <c r="K83">
        <f>G83&lt;=164</f>
        <v>0</v>
      </c>
      <c r="L83">
        <f>G83&gt;164</f>
        <v>1</v>
      </c>
      <c r="M83">
        <f>H83&lt;=5</f>
        <v>1</v>
      </c>
      <c r="N83">
        <f>H83&gt;5</f>
        <v>0</v>
      </c>
      <c r="O83">
        <f>I83&lt;=7</f>
        <v>0</v>
      </c>
      <c r="P83">
        <f>I83&gt;7</f>
        <v>1</v>
      </c>
      <c r="Q83">
        <f>J83&lt;=10</f>
        <v>1</v>
      </c>
      <c r="R83">
        <f>J83&gt;10</f>
        <v>0</v>
      </c>
    </row>
    <row r="84" spans="2:18" x14ac:dyDescent="0.25">
      <c r="B84" s="7" t="s">
        <v>44</v>
      </c>
      <c r="C84" t="s">
        <v>321</v>
      </c>
      <c r="D84" t="s">
        <v>322</v>
      </c>
      <c r="E84" t="s">
        <v>323</v>
      </c>
      <c r="F84" t="s">
        <v>324</v>
      </c>
      <c r="G84" s="8">
        <v>177</v>
      </c>
      <c r="H84" s="9">
        <v>10</v>
      </c>
      <c r="I84" s="9">
        <v>20</v>
      </c>
      <c r="J84" s="9">
        <v>0</v>
      </c>
      <c r="K84">
        <f>G84&lt;=164</f>
        <v>0</v>
      </c>
      <c r="L84">
        <f>G84&gt;164</f>
        <v>1</v>
      </c>
      <c r="M84">
        <f>H84&lt;=5</f>
        <v>0</v>
      </c>
      <c r="N84">
        <f>H84&gt;5</f>
        <v>1</v>
      </c>
      <c r="O84">
        <f>I84&lt;=7</f>
        <v>0</v>
      </c>
      <c r="P84">
        <f>I84&gt;7</f>
        <v>1</v>
      </c>
      <c r="Q84">
        <f>J84&lt;=10</f>
        <v>1</v>
      </c>
      <c r="R84">
        <f>J84&gt;10</f>
        <v>0</v>
      </c>
    </row>
    <row r="85" spans="2:18" x14ac:dyDescent="0.25">
      <c r="B85" s="7" t="s">
        <v>44</v>
      </c>
      <c r="C85" t="s">
        <v>325</v>
      </c>
      <c r="D85" t="s">
        <v>326</v>
      </c>
      <c r="E85" t="s">
        <v>327</v>
      </c>
      <c r="F85" t="s">
        <v>328</v>
      </c>
      <c r="G85" s="8">
        <v>135</v>
      </c>
      <c r="H85" s="9">
        <v>1</v>
      </c>
      <c r="I85" s="9">
        <v>30</v>
      </c>
      <c r="J85" s="9">
        <v>0</v>
      </c>
      <c r="K85">
        <f>G85&lt;=164</f>
        <v>1</v>
      </c>
      <c r="L85">
        <f>G85&gt;164</f>
        <v>0</v>
      </c>
      <c r="M85">
        <f>H85&lt;=5</f>
        <v>1</v>
      </c>
      <c r="N85">
        <f>H85&gt;5</f>
        <v>0</v>
      </c>
      <c r="O85">
        <f>I85&lt;=7</f>
        <v>0</v>
      </c>
      <c r="P85">
        <f>I85&gt;7</f>
        <v>1</v>
      </c>
      <c r="Q85">
        <f>J85&lt;=10</f>
        <v>1</v>
      </c>
      <c r="R85">
        <f>J85&gt;10</f>
        <v>0</v>
      </c>
    </row>
    <row r="86" spans="2:18" x14ac:dyDescent="0.25">
      <c r="B86" s="7" t="s">
        <v>44</v>
      </c>
      <c r="C86" t="s">
        <v>329</v>
      </c>
      <c r="D86" t="s">
        <v>330</v>
      </c>
      <c r="E86" t="s">
        <v>331</v>
      </c>
      <c r="F86" t="s">
        <v>332</v>
      </c>
      <c r="G86" s="8">
        <v>215</v>
      </c>
      <c r="H86" s="9">
        <v>15</v>
      </c>
      <c r="I86" s="9">
        <v>19</v>
      </c>
      <c r="J86" s="9">
        <v>0</v>
      </c>
      <c r="K86">
        <f>G86&lt;=164</f>
        <v>0</v>
      </c>
      <c r="L86">
        <f>G86&gt;164</f>
        <v>1</v>
      </c>
      <c r="M86">
        <f>H86&lt;=5</f>
        <v>0</v>
      </c>
      <c r="N86">
        <f>H86&gt;5</f>
        <v>1</v>
      </c>
      <c r="O86">
        <f>I86&lt;=7</f>
        <v>0</v>
      </c>
      <c r="P86">
        <f>I86&gt;7</f>
        <v>1</v>
      </c>
      <c r="Q86">
        <f>J86&lt;=10</f>
        <v>1</v>
      </c>
      <c r="R86">
        <f>J86&gt;10</f>
        <v>0</v>
      </c>
    </row>
    <row r="87" spans="2:18" x14ac:dyDescent="0.25">
      <c r="B87" s="7" t="s">
        <v>44</v>
      </c>
      <c r="C87" t="s">
        <v>333</v>
      </c>
      <c r="D87" t="s">
        <v>334</v>
      </c>
      <c r="E87" t="s">
        <v>335</v>
      </c>
      <c r="F87" t="s">
        <v>336</v>
      </c>
      <c r="G87" s="8">
        <v>200</v>
      </c>
      <c r="H87" s="9">
        <v>10</v>
      </c>
      <c r="I87" s="9">
        <v>26</v>
      </c>
      <c r="J87" s="9">
        <v>0</v>
      </c>
      <c r="K87">
        <f>G87&lt;=164</f>
        <v>0</v>
      </c>
      <c r="L87">
        <f>G87&gt;164</f>
        <v>1</v>
      </c>
      <c r="M87">
        <f>H87&lt;=5</f>
        <v>0</v>
      </c>
      <c r="N87">
        <f>H87&gt;5</f>
        <v>1</v>
      </c>
      <c r="O87">
        <f>I87&lt;=7</f>
        <v>0</v>
      </c>
      <c r="P87">
        <f>I87&gt;7</f>
        <v>1</v>
      </c>
      <c r="Q87">
        <f>J87&lt;=10</f>
        <v>1</v>
      </c>
      <c r="R87">
        <f>J87&gt;10</f>
        <v>0</v>
      </c>
    </row>
    <row r="88" spans="2:18" x14ac:dyDescent="0.25">
      <c r="B88" s="7" t="s">
        <v>44</v>
      </c>
      <c r="C88" t="s">
        <v>337</v>
      </c>
      <c r="D88" t="s">
        <v>338</v>
      </c>
      <c r="E88" t="s">
        <v>339</v>
      </c>
      <c r="F88" t="s">
        <v>340</v>
      </c>
      <c r="G88" s="8">
        <v>231</v>
      </c>
      <c r="H88" s="9">
        <v>13</v>
      </c>
      <c r="I88" s="9">
        <v>27</v>
      </c>
      <c r="J88" s="9">
        <v>0</v>
      </c>
      <c r="K88">
        <f>G88&lt;=164</f>
        <v>0</v>
      </c>
      <c r="L88">
        <f>G88&gt;164</f>
        <v>1</v>
      </c>
      <c r="M88">
        <f>H88&lt;=5</f>
        <v>0</v>
      </c>
      <c r="N88">
        <f>H88&gt;5</f>
        <v>1</v>
      </c>
      <c r="O88">
        <f>I88&lt;=7</f>
        <v>0</v>
      </c>
      <c r="P88">
        <f>I88&gt;7</f>
        <v>1</v>
      </c>
      <c r="Q88">
        <f>J88&lt;=10</f>
        <v>1</v>
      </c>
      <c r="R88">
        <f>J88&gt;10</f>
        <v>0</v>
      </c>
    </row>
    <row r="89" spans="2:18" x14ac:dyDescent="0.25">
      <c r="B89" s="7" t="s">
        <v>44</v>
      </c>
      <c r="C89" t="s">
        <v>341</v>
      </c>
      <c r="D89" t="s">
        <v>342</v>
      </c>
      <c r="E89" t="s">
        <v>343</v>
      </c>
      <c r="F89" t="s">
        <v>344</v>
      </c>
      <c r="G89" s="8">
        <v>258</v>
      </c>
      <c r="H89" s="9">
        <v>17</v>
      </c>
      <c r="I89" s="9">
        <v>25</v>
      </c>
      <c r="J89" s="9">
        <v>0</v>
      </c>
      <c r="K89">
        <f>G89&lt;=164</f>
        <v>0</v>
      </c>
      <c r="L89">
        <f>G89&gt;164</f>
        <v>1</v>
      </c>
      <c r="M89">
        <f>H89&lt;=5</f>
        <v>0</v>
      </c>
      <c r="N89">
        <f>H89&gt;5</f>
        <v>1</v>
      </c>
      <c r="O89">
        <f>I89&lt;=7</f>
        <v>0</v>
      </c>
      <c r="P89">
        <f>I89&gt;7</f>
        <v>1</v>
      </c>
      <c r="Q89">
        <f>J89&lt;=10</f>
        <v>1</v>
      </c>
      <c r="R89">
        <f>J89&gt;10</f>
        <v>0</v>
      </c>
    </row>
    <row r="90" spans="2:18" x14ac:dyDescent="0.25">
      <c r="B90" s="7" t="s">
        <v>44</v>
      </c>
      <c r="C90" t="s">
        <v>345</v>
      </c>
      <c r="D90" t="s">
        <v>346</v>
      </c>
      <c r="E90" t="s">
        <v>347</v>
      </c>
      <c r="F90" t="s">
        <v>348</v>
      </c>
      <c r="G90" s="8">
        <v>541</v>
      </c>
      <c r="H90" s="9">
        <v>42</v>
      </c>
      <c r="I90" s="9">
        <v>37</v>
      </c>
      <c r="J90" s="9">
        <v>1.4</v>
      </c>
      <c r="K90">
        <f>G90&lt;=164</f>
        <v>0</v>
      </c>
      <c r="L90">
        <f>G90&gt;164</f>
        <v>1</v>
      </c>
      <c r="M90">
        <f>H90&lt;=5</f>
        <v>0</v>
      </c>
      <c r="N90">
        <f>H90&gt;5</f>
        <v>1</v>
      </c>
      <c r="O90">
        <f>I90&lt;=7</f>
        <v>0</v>
      </c>
      <c r="P90">
        <f>I90&gt;7</f>
        <v>1</v>
      </c>
      <c r="Q90">
        <f>J90&lt;=10</f>
        <v>1</v>
      </c>
      <c r="R90">
        <f>J90&gt;10</f>
        <v>0</v>
      </c>
    </row>
    <row r="91" spans="2:18" x14ac:dyDescent="0.25">
      <c r="B91" s="7" t="s">
        <v>44</v>
      </c>
      <c r="C91" t="s">
        <v>349</v>
      </c>
      <c r="D91" t="s">
        <v>350</v>
      </c>
      <c r="E91" t="s">
        <v>351</v>
      </c>
      <c r="F91" t="s">
        <v>352</v>
      </c>
      <c r="G91" s="8">
        <v>301</v>
      </c>
      <c r="H91" s="9">
        <v>25</v>
      </c>
      <c r="I91" s="9">
        <v>13</v>
      </c>
      <c r="J91" s="9">
        <v>5</v>
      </c>
      <c r="K91">
        <f>G91&lt;=164</f>
        <v>0</v>
      </c>
      <c r="L91">
        <f>G91&gt;164</f>
        <v>1</v>
      </c>
      <c r="M91">
        <f>H91&lt;=5</f>
        <v>0</v>
      </c>
      <c r="N91">
        <f>H91&gt;5</f>
        <v>1</v>
      </c>
      <c r="O91">
        <f>I91&lt;=7</f>
        <v>0</v>
      </c>
      <c r="P91">
        <f>I91&gt;7</f>
        <v>1</v>
      </c>
      <c r="Q91">
        <f>J91&lt;=10</f>
        <v>1</v>
      </c>
      <c r="R91">
        <f>J91&gt;10</f>
        <v>0</v>
      </c>
    </row>
    <row r="92" spans="2:18" x14ac:dyDescent="0.25">
      <c r="B92" s="7" t="s">
        <v>44</v>
      </c>
      <c r="C92" t="s">
        <v>353</v>
      </c>
      <c r="D92" t="s">
        <v>354</v>
      </c>
      <c r="E92" t="s">
        <v>355</v>
      </c>
      <c r="F92" t="s">
        <v>356</v>
      </c>
      <c r="G92" s="8">
        <v>208</v>
      </c>
      <c r="H92" s="9">
        <v>13</v>
      </c>
      <c r="I92" s="9">
        <v>20</v>
      </c>
      <c r="J92" s="9">
        <v>0</v>
      </c>
      <c r="K92">
        <f>G92&lt;=164</f>
        <v>0</v>
      </c>
      <c r="L92">
        <f>G92&gt;164</f>
        <v>1</v>
      </c>
      <c r="M92">
        <f>H92&lt;=5</f>
        <v>0</v>
      </c>
      <c r="N92">
        <f>H92&gt;5</f>
        <v>1</v>
      </c>
      <c r="O92">
        <f>I92&lt;=7</f>
        <v>0</v>
      </c>
      <c r="P92">
        <f>I92&gt;7</f>
        <v>1</v>
      </c>
      <c r="Q92">
        <f>J92&lt;=10</f>
        <v>1</v>
      </c>
      <c r="R92">
        <f>J92&gt;10</f>
        <v>0</v>
      </c>
    </row>
    <row r="93" spans="2:18" x14ac:dyDescent="0.25">
      <c r="B93" s="7" t="s">
        <v>44</v>
      </c>
      <c r="C93" t="s">
        <v>357</v>
      </c>
      <c r="D93" t="s">
        <v>358</v>
      </c>
      <c r="E93" t="s">
        <v>359</v>
      </c>
      <c r="F93" t="s">
        <v>360</v>
      </c>
      <c r="G93" s="8">
        <v>116</v>
      </c>
      <c r="H93" s="9">
        <v>0.8</v>
      </c>
      <c r="I93" s="9">
        <v>26</v>
      </c>
      <c r="J93" s="9">
        <v>0</v>
      </c>
      <c r="K93">
        <f>G93&lt;=164</f>
        <v>1</v>
      </c>
      <c r="L93">
        <f>G93&gt;164</f>
        <v>0</v>
      </c>
      <c r="M93">
        <f>H93&lt;=5</f>
        <v>1</v>
      </c>
      <c r="N93">
        <f>H93&gt;5</f>
        <v>0</v>
      </c>
      <c r="O93">
        <f>I93&lt;=7</f>
        <v>0</v>
      </c>
      <c r="P93">
        <f>I93&gt;7</f>
        <v>1</v>
      </c>
      <c r="Q93">
        <f>J93&lt;=10</f>
        <v>1</v>
      </c>
      <c r="R93">
        <f>J93&gt;10</f>
        <v>0</v>
      </c>
    </row>
    <row r="94" spans="2:18" x14ac:dyDescent="0.25">
      <c r="B94" s="7" t="s">
        <v>44</v>
      </c>
      <c r="C94" t="s">
        <v>361</v>
      </c>
      <c r="D94" t="s">
        <v>362</v>
      </c>
      <c r="E94" t="s">
        <v>363</v>
      </c>
      <c r="F94" t="s">
        <v>364</v>
      </c>
      <c r="G94" s="8">
        <v>82</v>
      </c>
      <c r="H94" s="9">
        <v>0.7</v>
      </c>
      <c r="I94" s="9">
        <v>18</v>
      </c>
      <c r="J94" s="9">
        <v>0</v>
      </c>
      <c r="K94">
        <f>G94&lt;=164</f>
        <v>1</v>
      </c>
      <c r="L94">
        <f>G94&gt;164</f>
        <v>0</v>
      </c>
      <c r="M94">
        <f>H94&lt;=5</f>
        <v>1</v>
      </c>
      <c r="N94">
        <f>H94&gt;5</f>
        <v>0</v>
      </c>
      <c r="O94">
        <f>I94&lt;=7</f>
        <v>0</v>
      </c>
      <c r="P94">
        <f>I94&gt;7</f>
        <v>1</v>
      </c>
      <c r="Q94">
        <f>J94&lt;=10</f>
        <v>1</v>
      </c>
      <c r="R94">
        <f>J94&gt;10</f>
        <v>0</v>
      </c>
    </row>
    <row r="95" spans="2:18" x14ac:dyDescent="0.25">
      <c r="B95" s="7" t="s">
        <v>44</v>
      </c>
      <c r="C95" t="s">
        <v>365</v>
      </c>
      <c r="D95" t="s">
        <v>366</v>
      </c>
      <c r="E95" t="s">
        <v>367</v>
      </c>
      <c r="F95" t="s">
        <v>368</v>
      </c>
      <c r="G95" s="8">
        <v>99</v>
      </c>
      <c r="H95" s="9">
        <v>0.3</v>
      </c>
      <c r="I95" s="9">
        <v>24</v>
      </c>
      <c r="J95" s="9">
        <v>0.2</v>
      </c>
      <c r="K95">
        <f>G95&lt;=164</f>
        <v>1</v>
      </c>
      <c r="L95">
        <f>G95&gt;164</f>
        <v>0</v>
      </c>
      <c r="M95">
        <f>H95&lt;=5</f>
        <v>1</v>
      </c>
      <c r="N95">
        <f>H95&gt;5</f>
        <v>0</v>
      </c>
      <c r="O95">
        <f>I95&lt;=7</f>
        <v>0</v>
      </c>
      <c r="P95">
        <f>I95&gt;7</f>
        <v>1</v>
      </c>
      <c r="Q95">
        <f>J95&lt;=10</f>
        <v>1</v>
      </c>
      <c r="R95">
        <f>J95&gt;10</f>
        <v>0</v>
      </c>
    </row>
    <row r="96" spans="2:18" x14ac:dyDescent="0.25">
      <c r="B96" s="7" t="s">
        <v>44</v>
      </c>
      <c r="C96" t="s">
        <v>369</v>
      </c>
      <c r="D96" t="s">
        <v>370</v>
      </c>
      <c r="E96" t="s">
        <v>371</v>
      </c>
      <c r="F96" t="s">
        <v>372</v>
      </c>
      <c r="G96" s="8">
        <v>155</v>
      </c>
      <c r="H96" s="9">
        <v>11</v>
      </c>
      <c r="I96" s="9">
        <v>13</v>
      </c>
      <c r="J96" s="9">
        <v>1.1</v>
      </c>
      <c r="K96">
        <f>G96&lt;=164</f>
        <v>1</v>
      </c>
      <c r="L96">
        <f>G96&gt;164</f>
        <v>0</v>
      </c>
      <c r="M96">
        <f>H96&lt;=5</f>
        <v>0</v>
      </c>
      <c r="N96">
        <f>H96&gt;5</f>
        <v>1</v>
      </c>
      <c r="O96">
        <f>I96&lt;=7</f>
        <v>0</v>
      </c>
      <c r="P96">
        <f>I96&gt;7</f>
        <v>1</v>
      </c>
      <c r="Q96">
        <f>J96&lt;=10</f>
        <v>1</v>
      </c>
      <c r="R96">
        <f>J96&gt;10</f>
        <v>0</v>
      </c>
    </row>
    <row r="97" spans="2:18" x14ac:dyDescent="0.25">
      <c r="B97" s="7" t="s">
        <v>44</v>
      </c>
      <c r="C97" t="s">
        <v>373</v>
      </c>
      <c r="D97" t="s">
        <v>374</v>
      </c>
      <c r="E97" t="s">
        <v>375</v>
      </c>
      <c r="F97" t="s">
        <v>376</v>
      </c>
      <c r="G97" s="8">
        <v>52</v>
      </c>
      <c r="H97" s="9">
        <v>0.2</v>
      </c>
      <c r="I97" s="9">
        <v>11</v>
      </c>
      <c r="J97" s="9">
        <v>0.7</v>
      </c>
      <c r="K97">
        <f>G97&lt;=164</f>
        <v>1</v>
      </c>
      <c r="L97">
        <f>G97&gt;164</f>
        <v>0</v>
      </c>
      <c r="M97">
        <f>H97&lt;=5</f>
        <v>1</v>
      </c>
      <c r="N97">
        <f>H97&gt;5</f>
        <v>0</v>
      </c>
      <c r="O97">
        <f>I97&lt;=7</f>
        <v>0</v>
      </c>
      <c r="P97">
        <f>I97&gt;7</f>
        <v>1</v>
      </c>
      <c r="Q97">
        <f>J97&lt;=10</f>
        <v>1</v>
      </c>
      <c r="R97">
        <f>J97&gt;10</f>
        <v>0</v>
      </c>
    </row>
    <row r="98" spans="2:18" x14ac:dyDescent="0.25">
      <c r="B98" s="7" t="s">
        <v>44</v>
      </c>
      <c r="C98" t="s">
        <v>377</v>
      </c>
      <c r="D98" t="s">
        <v>378</v>
      </c>
      <c r="E98" t="s">
        <v>379</v>
      </c>
      <c r="F98" t="s">
        <v>380</v>
      </c>
      <c r="G98" s="8">
        <v>76</v>
      </c>
      <c r="H98" s="9">
        <v>4.8</v>
      </c>
      <c r="I98" s="9">
        <v>8</v>
      </c>
      <c r="J98" s="9">
        <v>1.9</v>
      </c>
      <c r="K98">
        <f>G98&lt;=164</f>
        <v>1</v>
      </c>
      <c r="L98">
        <f>G98&gt;164</f>
        <v>0</v>
      </c>
      <c r="M98">
        <f>H98&lt;=5</f>
        <v>1</v>
      </c>
      <c r="N98">
        <f>H98&gt;5</f>
        <v>0</v>
      </c>
      <c r="O98">
        <f>I98&lt;=7</f>
        <v>0</v>
      </c>
      <c r="P98">
        <f>I98&gt;7</f>
        <v>1</v>
      </c>
      <c r="Q98">
        <f>J98&lt;=10</f>
        <v>1</v>
      </c>
      <c r="R98">
        <f>J98&gt;10</f>
        <v>0</v>
      </c>
    </row>
    <row r="99" spans="2:18" x14ac:dyDescent="0.25">
      <c r="B99" s="7" t="s">
        <v>44</v>
      </c>
      <c r="C99" t="s">
        <v>381</v>
      </c>
      <c r="D99" t="s">
        <v>382</v>
      </c>
      <c r="E99" t="s">
        <v>383</v>
      </c>
      <c r="F99" t="s">
        <v>384</v>
      </c>
      <c r="G99" s="8">
        <v>130</v>
      </c>
      <c r="H99" s="9">
        <v>0.3</v>
      </c>
      <c r="I99" s="9">
        <v>2.7</v>
      </c>
      <c r="J99" s="9">
        <v>28</v>
      </c>
      <c r="K99">
        <f>G99&lt;=164</f>
        <v>1</v>
      </c>
      <c r="L99">
        <f>G99&gt;164</f>
        <v>0</v>
      </c>
      <c r="M99">
        <f>H99&lt;=5</f>
        <v>1</v>
      </c>
      <c r="N99">
        <f>H99&gt;5</f>
        <v>0</v>
      </c>
      <c r="O99">
        <f>I99&lt;=7</f>
        <v>1</v>
      </c>
      <c r="P99">
        <f>I99&gt;7</f>
        <v>0</v>
      </c>
      <c r="Q99">
        <f>J99&lt;=10</f>
        <v>0</v>
      </c>
      <c r="R99">
        <f>J99&gt;10</f>
        <v>1</v>
      </c>
    </row>
    <row r="100" spans="2:18" x14ac:dyDescent="0.25">
      <c r="B100" s="7" t="s">
        <v>44</v>
      </c>
      <c r="C100" t="s">
        <v>385</v>
      </c>
      <c r="D100" t="s">
        <v>386</v>
      </c>
      <c r="E100" t="s">
        <v>387</v>
      </c>
      <c r="F100" t="s">
        <v>388</v>
      </c>
      <c r="G100" s="8">
        <v>123</v>
      </c>
      <c r="H100" s="9">
        <v>1</v>
      </c>
      <c r="I100" s="9">
        <v>2.7</v>
      </c>
      <c r="J100" s="9">
        <v>26</v>
      </c>
      <c r="K100">
        <f>G100&lt;=164</f>
        <v>1</v>
      </c>
      <c r="L100">
        <f>G100&gt;164</f>
        <v>0</v>
      </c>
      <c r="M100">
        <f>H100&lt;=5</f>
        <v>1</v>
      </c>
      <c r="N100">
        <f>H100&gt;5</f>
        <v>0</v>
      </c>
      <c r="O100">
        <f>I100&lt;=7</f>
        <v>1</v>
      </c>
      <c r="P100">
        <f>I100&gt;7</f>
        <v>0</v>
      </c>
      <c r="Q100">
        <f>J100&lt;=10</f>
        <v>0</v>
      </c>
      <c r="R100">
        <f>J100&gt;10</f>
        <v>1</v>
      </c>
    </row>
    <row r="101" spans="2:18" x14ac:dyDescent="0.25">
      <c r="B101" s="7" t="s">
        <v>44</v>
      </c>
      <c r="C101" t="s">
        <v>389</v>
      </c>
      <c r="D101" t="s">
        <v>390</v>
      </c>
      <c r="E101" t="s">
        <v>391</v>
      </c>
      <c r="F101" t="s">
        <v>392</v>
      </c>
      <c r="G101" s="8">
        <v>379</v>
      </c>
      <c r="H101" s="9">
        <v>7</v>
      </c>
      <c r="I101" s="9">
        <v>13</v>
      </c>
      <c r="J101" s="9">
        <v>66</v>
      </c>
      <c r="K101">
        <f>G101&lt;=164</f>
        <v>0</v>
      </c>
      <c r="L101">
        <f>G101&gt;164</f>
        <v>1</v>
      </c>
      <c r="M101">
        <f>H101&lt;=5</f>
        <v>0</v>
      </c>
      <c r="N101">
        <f>H101&gt;5</f>
        <v>1</v>
      </c>
      <c r="O101">
        <f>I101&lt;=7</f>
        <v>0</v>
      </c>
      <c r="P101">
        <f>I101&gt;7</f>
        <v>1</v>
      </c>
      <c r="Q101">
        <f>J101&lt;=10</f>
        <v>0</v>
      </c>
      <c r="R101">
        <f>J101&gt;10</f>
        <v>1</v>
      </c>
    </row>
    <row r="102" spans="2:18" x14ac:dyDescent="0.25">
      <c r="B102" s="7" t="s">
        <v>44</v>
      </c>
      <c r="C102" t="s">
        <v>393</v>
      </c>
      <c r="D102" t="s">
        <v>394</v>
      </c>
      <c r="E102" t="s">
        <v>395</v>
      </c>
      <c r="F102" t="s">
        <v>396</v>
      </c>
      <c r="G102" s="8">
        <v>131</v>
      </c>
      <c r="H102" s="9">
        <v>1.1</v>
      </c>
      <c r="I102" s="9">
        <v>5</v>
      </c>
      <c r="J102" s="9">
        <v>25</v>
      </c>
      <c r="K102">
        <f>G102&lt;=164</f>
        <v>1</v>
      </c>
      <c r="L102">
        <f>G102&gt;164</f>
        <v>0</v>
      </c>
      <c r="M102">
        <f>H102&lt;=5</f>
        <v>1</v>
      </c>
      <c r="N102">
        <f>H102&gt;5</f>
        <v>0</v>
      </c>
      <c r="O102">
        <f>I102&lt;=7</f>
        <v>1</v>
      </c>
      <c r="P102">
        <f>I102&gt;7</f>
        <v>0</v>
      </c>
      <c r="Q102">
        <f>J102&lt;=10</f>
        <v>0</v>
      </c>
      <c r="R102">
        <f>J102&gt;10</f>
        <v>1</v>
      </c>
    </row>
    <row r="103" spans="2:18" x14ac:dyDescent="0.25">
      <c r="B103" s="7" t="s">
        <v>44</v>
      </c>
      <c r="C103" t="s">
        <v>397</v>
      </c>
      <c r="D103" t="s">
        <v>398</v>
      </c>
      <c r="E103" t="s">
        <v>399</v>
      </c>
      <c r="F103" t="s">
        <v>400</v>
      </c>
      <c r="G103" s="8">
        <v>265</v>
      </c>
      <c r="H103" s="9">
        <v>3.2</v>
      </c>
      <c r="I103" s="9">
        <v>9</v>
      </c>
      <c r="J103" s="9">
        <v>49</v>
      </c>
      <c r="K103">
        <f>G103&lt;=164</f>
        <v>0</v>
      </c>
      <c r="L103">
        <f>G103&gt;164</f>
        <v>1</v>
      </c>
      <c r="M103">
        <f>H103&lt;=5</f>
        <v>1</v>
      </c>
      <c r="N103">
        <f>H103&gt;5</f>
        <v>0</v>
      </c>
      <c r="O103">
        <f>I103&lt;=7</f>
        <v>0</v>
      </c>
      <c r="P103">
        <f>I103&gt;7</f>
        <v>1</v>
      </c>
      <c r="Q103">
        <f>J103&lt;=10</f>
        <v>0</v>
      </c>
      <c r="R103">
        <f>J103&gt;10</f>
        <v>1</v>
      </c>
    </row>
    <row r="104" spans="2:18" x14ac:dyDescent="0.25">
      <c r="B104" s="7" t="s">
        <v>44</v>
      </c>
      <c r="C104" t="s">
        <v>401</v>
      </c>
      <c r="D104" t="s">
        <v>402</v>
      </c>
      <c r="E104" t="s">
        <v>403</v>
      </c>
      <c r="F104" t="s">
        <v>404</v>
      </c>
      <c r="G104" s="8">
        <v>252</v>
      </c>
      <c r="H104" s="9">
        <v>3.4</v>
      </c>
      <c r="I104" s="9">
        <v>12</v>
      </c>
      <c r="J104" s="9">
        <v>43</v>
      </c>
      <c r="K104">
        <f>G104&lt;=164</f>
        <v>0</v>
      </c>
      <c r="L104">
        <f>G104&gt;164</f>
        <v>1</v>
      </c>
      <c r="M104">
        <f>H104&lt;=5</f>
        <v>1</v>
      </c>
      <c r="N104">
        <f>H104&gt;5</f>
        <v>0</v>
      </c>
      <c r="O104">
        <f>I104&lt;=7</f>
        <v>0</v>
      </c>
      <c r="P104">
        <f>I104&gt;7</f>
        <v>1</v>
      </c>
      <c r="Q104">
        <f>J104&lt;=10</f>
        <v>0</v>
      </c>
      <c r="R104">
        <f>J104&gt;10</f>
        <v>1</v>
      </c>
    </row>
    <row r="105" spans="2:18" x14ac:dyDescent="0.25">
      <c r="B105" s="7" t="s">
        <v>44</v>
      </c>
      <c r="C105" t="s">
        <v>405</v>
      </c>
      <c r="D105" t="s">
        <v>406</v>
      </c>
      <c r="E105" t="s">
        <v>407</v>
      </c>
      <c r="F105" t="s">
        <v>408</v>
      </c>
      <c r="G105" s="8">
        <v>87</v>
      </c>
      <c r="H105" s="9">
        <v>0.1</v>
      </c>
      <c r="I105" s="9">
        <v>1.9</v>
      </c>
      <c r="J105" s="9">
        <v>20</v>
      </c>
      <c r="K105">
        <f>G105&lt;=164</f>
        <v>1</v>
      </c>
      <c r="L105">
        <f>G105&gt;164</f>
        <v>0</v>
      </c>
      <c r="M105">
        <f>H105&lt;=5</f>
        <v>1</v>
      </c>
      <c r="N105">
        <f>H105&gt;5</f>
        <v>0</v>
      </c>
      <c r="O105">
        <f>I105&lt;=7</f>
        <v>1</v>
      </c>
      <c r="P105">
        <f>I105&gt;7</f>
        <v>0</v>
      </c>
      <c r="Q105">
        <f>J105&lt;=10</f>
        <v>0</v>
      </c>
      <c r="R105">
        <f>J105&gt;10</f>
        <v>1</v>
      </c>
    </row>
    <row r="106" spans="2:18" x14ac:dyDescent="0.25">
      <c r="B106" s="7" t="s">
        <v>44</v>
      </c>
      <c r="C106" t="s">
        <v>409</v>
      </c>
      <c r="D106" t="s">
        <v>410</v>
      </c>
      <c r="E106" t="s">
        <v>411</v>
      </c>
      <c r="F106" t="s">
        <v>412</v>
      </c>
      <c r="G106" s="8">
        <v>90</v>
      </c>
      <c r="H106" s="9">
        <v>0.1</v>
      </c>
      <c r="I106" s="9">
        <v>2</v>
      </c>
      <c r="J106" s="9">
        <v>21</v>
      </c>
      <c r="K106">
        <f>G106&lt;=164</f>
        <v>1</v>
      </c>
      <c r="L106">
        <f>G106&gt;164</f>
        <v>0</v>
      </c>
      <c r="M106">
        <f>H106&lt;=5</f>
        <v>1</v>
      </c>
      <c r="N106">
        <f>H106&gt;5</f>
        <v>0</v>
      </c>
      <c r="O106">
        <f>I106&lt;=7</f>
        <v>1</v>
      </c>
      <c r="P106">
        <f>I106&gt;7</f>
        <v>0</v>
      </c>
      <c r="Q106">
        <f>J106&lt;=10</f>
        <v>0</v>
      </c>
      <c r="R106">
        <f>J106&gt;10</f>
        <v>1</v>
      </c>
    </row>
    <row r="107" spans="2:18" x14ac:dyDescent="0.25">
      <c r="B107" s="7" t="s">
        <v>44</v>
      </c>
      <c r="C107" t="s">
        <v>413</v>
      </c>
      <c r="D107" t="s">
        <v>414</v>
      </c>
      <c r="E107" t="s">
        <v>415</v>
      </c>
      <c r="F107" t="s">
        <v>416</v>
      </c>
      <c r="G107" s="8">
        <v>120</v>
      </c>
      <c r="H107" s="9">
        <v>1.9</v>
      </c>
      <c r="I107" s="9">
        <v>4.4</v>
      </c>
      <c r="J107" s="9">
        <v>21</v>
      </c>
      <c r="K107">
        <f>G107&lt;=164</f>
        <v>1</v>
      </c>
      <c r="L107">
        <f>G107&gt;164</f>
        <v>0</v>
      </c>
      <c r="M107">
        <f>H107&lt;=5</f>
        <v>1</v>
      </c>
      <c r="N107">
        <f>H107&gt;5</f>
        <v>0</v>
      </c>
      <c r="O107">
        <f>I107&lt;=7</f>
        <v>1</v>
      </c>
      <c r="P107">
        <f>I107&gt;7</f>
        <v>0</v>
      </c>
      <c r="Q107">
        <f>J107&lt;=10</f>
        <v>0</v>
      </c>
      <c r="R107">
        <f>J107&gt;10</f>
        <v>1</v>
      </c>
    </row>
    <row r="108" spans="2:18" x14ac:dyDescent="0.25">
      <c r="B108" s="7" t="s">
        <v>44</v>
      </c>
      <c r="C108" t="s">
        <v>417</v>
      </c>
      <c r="D108" t="s">
        <v>418</v>
      </c>
      <c r="E108" t="s">
        <v>419</v>
      </c>
      <c r="F108" t="s">
        <v>420</v>
      </c>
      <c r="G108" s="8">
        <v>116</v>
      </c>
      <c r="H108" s="9">
        <v>0.4</v>
      </c>
      <c r="I108" s="9">
        <v>9</v>
      </c>
      <c r="J108" s="9">
        <v>20</v>
      </c>
      <c r="K108">
        <f>G108&lt;=164</f>
        <v>1</v>
      </c>
      <c r="L108">
        <f>G108&gt;164</f>
        <v>0</v>
      </c>
      <c r="M108">
        <f>H108&lt;=5</f>
        <v>1</v>
      </c>
      <c r="N108">
        <f>H108&gt;5</f>
        <v>0</v>
      </c>
      <c r="O108">
        <f>I108&lt;=7</f>
        <v>0</v>
      </c>
      <c r="P108">
        <f>I108&gt;7</f>
        <v>1</v>
      </c>
      <c r="Q108">
        <f>J108&lt;=10</f>
        <v>0</v>
      </c>
      <c r="R108">
        <f>J108&gt;10</f>
        <v>1</v>
      </c>
    </row>
    <row r="109" spans="2:18" x14ac:dyDescent="0.25">
      <c r="B109" s="7" t="s">
        <v>44</v>
      </c>
      <c r="C109" t="s">
        <v>421</v>
      </c>
      <c r="D109" t="s">
        <v>422</v>
      </c>
      <c r="E109" t="s">
        <v>423</v>
      </c>
      <c r="F109" t="s">
        <v>424</v>
      </c>
      <c r="G109" s="8">
        <v>164</v>
      </c>
      <c r="H109" s="9">
        <v>2.6</v>
      </c>
      <c r="I109" s="9">
        <v>9</v>
      </c>
      <c r="J109" s="9">
        <v>27</v>
      </c>
      <c r="K109">
        <f>G109&lt;=164</f>
        <v>1</v>
      </c>
      <c r="L109">
        <f>G109&gt;164</f>
        <v>0</v>
      </c>
      <c r="M109">
        <f>H109&lt;=5</f>
        <v>1</v>
      </c>
      <c r="N109">
        <f>H109&gt;5</f>
        <v>0</v>
      </c>
      <c r="O109">
        <f>I109&lt;=7</f>
        <v>0</v>
      </c>
      <c r="P109">
        <f>I109&gt;7</f>
        <v>1</v>
      </c>
      <c r="Q109">
        <f>J109&lt;=10</f>
        <v>0</v>
      </c>
      <c r="R109">
        <f>J109&gt;10</f>
        <v>1</v>
      </c>
    </row>
    <row r="110" spans="2:18" x14ac:dyDescent="0.25">
      <c r="B110" s="7" t="s">
        <v>44</v>
      </c>
      <c r="C110" t="s">
        <v>425</v>
      </c>
      <c r="D110" t="s">
        <v>426</v>
      </c>
      <c r="E110" t="s">
        <v>427</v>
      </c>
      <c r="F110" t="s">
        <v>428</v>
      </c>
      <c r="G110" s="8">
        <v>112</v>
      </c>
      <c r="H110" s="9">
        <v>0.2</v>
      </c>
      <c r="I110" s="9">
        <v>3.8</v>
      </c>
      <c r="J110" s="9">
        <v>23</v>
      </c>
      <c r="K110">
        <f>G110&lt;=164</f>
        <v>1</v>
      </c>
      <c r="L110">
        <f>G110&gt;164</f>
        <v>0</v>
      </c>
      <c r="M110">
        <f>H110&lt;=5</f>
        <v>1</v>
      </c>
      <c r="N110">
        <f>H110&gt;5</f>
        <v>0</v>
      </c>
      <c r="O110">
        <f>I110&lt;=7</f>
        <v>1</v>
      </c>
      <c r="P110">
        <f>I110&gt;7</f>
        <v>0</v>
      </c>
      <c r="Q110">
        <f>J110&lt;=10</f>
        <v>0</v>
      </c>
      <c r="R110">
        <f>J110&gt;10</f>
        <v>1</v>
      </c>
    </row>
    <row r="111" spans="2:18" x14ac:dyDescent="0.25">
      <c r="B111" s="7" t="s">
        <v>44</v>
      </c>
      <c r="C111" t="s">
        <v>429</v>
      </c>
      <c r="D111" t="s">
        <v>430</v>
      </c>
      <c r="E111" t="s">
        <v>431</v>
      </c>
      <c r="F111" t="s">
        <v>432</v>
      </c>
      <c r="G111" s="8">
        <v>61</v>
      </c>
      <c r="H111" s="9">
        <v>3.3</v>
      </c>
      <c r="I111" s="9">
        <v>3.2</v>
      </c>
      <c r="J111" s="9">
        <v>4.8</v>
      </c>
      <c r="K111">
        <f>G111&lt;=164</f>
        <v>1</v>
      </c>
      <c r="L111">
        <f>G111&gt;164</f>
        <v>0</v>
      </c>
      <c r="M111">
        <f>H111&lt;=5</f>
        <v>1</v>
      </c>
      <c r="N111">
        <f>H111&gt;5</f>
        <v>0</v>
      </c>
      <c r="O111">
        <f>I111&lt;=7</f>
        <v>1</v>
      </c>
      <c r="P111">
        <f>I111&gt;7</f>
        <v>0</v>
      </c>
      <c r="Q111">
        <f>J111&lt;=10</f>
        <v>1</v>
      </c>
      <c r="R111">
        <f>J111&gt;10</f>
        <v>0</v>
      </c>
    </row>
    <row r="112" spans="2:18" x14ac:dyDescent="0.25">
      <c r="B112" s="7" t="s">
        <v>44</v>
      </c>
      <c r="C112" t="s">
        <v>433</v>
      </c>
      <c r="D112" t="s">
        <v>434</v>
      </c>
      <c r="E112" t="s">
        <v>435</v>
      </c>
      <c r="F112" t="s">
        <v>436</v>
      </c>
      <c r="G112" s="8">
        <v>34</v>
      </c>
      <c r="H112" s="9">
        <v>0.1</v>
      </c>
      <c r="I112" s="9">
        <v>3.4</v>
      </c>
      <c r="J112" s="9">
        <v>5</v>
      </c>
      <c r="K112">
        <f>G112&lt;=164</f>
        <v>1</v>
      </c>
      <c r="L112">
        <f>G112&gt;164</f>
        <v>0</v>
      </c>
      <c r="M112">
        <f>H112&lt;=5</f>
        <v>1</v>
      </c>
      <c r="N112">
        <f>H112&gt;5</f>
        <v>0</v>
      </c>
      <c r="O112">
        <f>I112&lt;=7</f>
        <v>1</v>
      </c>
      <c r="P112">
        <f>I112&gt;7</f>
        <v>0</v>
      </c>
      <c r="Q112">
        <f>J112&lt;=10</f>
        <v>1</v>
      </c>
      <c r="R112">
        <f>J112&gt;10</f>
        <v>0</v>
      </c>
    </row>
    <row r="113" spans="2:18" x14ac:dyDescent="0.25">
      <c r="B113" s="7" t="s">
        <v>44</v>
      </c>
      <c r="C113" t="s">
        <v>437</v>
      </c>
      <c r="D113" t="s">
        <v>438</v>
      </c>
      <c r="E113" t="s">
        <v>439</v>
      </c>
      <c r="F113" t="s">
        <v>440</v>
      </c>
      <c r="G113" s="8">
        <v>97</v>
      </c>
      <c r="H113" s="9">
        <v>5</v>
      </c>
      <c r="I113" s="9">
        <v>9</v>
      </c>
      <c r="J113" s="9">
        <v>3.6</v>
      </c>
      <c r="K113">
        <f>G113&lt;=164</f>
        <v>1</v>
      </c>
      <c r="L113">
        <f>G113&gt;164</f>
        <v>0</v>
      </c>
      <c r="M113">
        <f>H113&lt;=5</f>
        <v>1</v>
      </c>
      <c r="N113">
        <f>H113&gt;5</f>
        <v>0</v>
      </c>
      <c r="O113">
        <f>I113&lt;=7</f>
        <v>0</v>
      </c>
      <c r="P113">
        <f>I113&gt;7</f>
        <v>1</v>
      </c>
      <c r="Q113">
        <f>J113&lt;=10</f>
        <v>1</v>
      </c>
      <c r="R113">
        <f>J113&gt;10</f>
        <v>0</v>
      </c>
    </row>
    <row r="114" spans="2:18" x14ac:dyDescent="0.25">
      <c r="B114" s="7" t="s">
        <v>44</v>
      </c>
      <c r="C114" t="s">
        <v>441</v>
      </c>
      <c r="D114" t="s">
        <v>442</v>
      </c>
      <c r="E114" t="s">
        <v>443</v>
      </c>
      <c r="F114" t="s">
        <v>444</v>
      </c>
      <c r="G114" s="8">
        <v>59</v>
      </c>
      <c r="H114" s="9">
        <v>0.4</v>
      </c>
      <c r="I114" s="9">
        <v>10</v>
      </c>
      <c r="J114" s="9">
        <v>3.6</v>
      </c>
      <c r="K114">
        <f>G114&lt;=164</f>
        <v>1</v>
      </c>
      <c r="L114">
        <f>G114&gt;164</f>
        <v>0</v>
      </c>
      <c r="M114">
        <f>H114&lt;=5</f>
        <v>1</v>
      </c>
      <c r="N114">
        <f>H114&gt;5</f>
        <v>0</v>
      </c>
      <c r="O114">
        <f>I114&lt;=7</f>
        <v>0</v>
      </c>
      <c r="P114">
        <f>I114&gt;7</f>
        <v>1</v>
      </c>
      <c r="Q114">
        <f>J114&lt;=10</f>
        <v>1</v>
      </c>
      <c r="R114">
        <f>J114&gt;10</f>
        <v>0</v>
      </c>
    </row>
    <row r="115" spans="2:18" x14ac:dyDescent="0.25">
      <c r="B115" s="7" t="s">
        <v>44</v>
      </c>
      <c r="C115" t="s">
        <v>445</v>
      </c>
      <c r="D115" t="s">
        <v>446</v>
      </c>
      <c r="E115" t="s">
        <v>447</v>
      </c>
      <c r="F115" t="s">
        <v>448</v>
      </c>
      <c r="G115" s="8">
        <v>84</v>
      </c>
      <c r="H115" s="9">
        <v>2.3</v>
      </c>
      <c r="I115" s="9">
        <v>11</v>
      </c>
      <c r="J115" s="9">
        <v>4.3</v>
      </c>
      <c r="K115">
        <f>G115&lt;=164</f>
        <v>1</v>
      </c>
      <c r="L115">
        <f>G115&gt;164</f>
        <v>0</v>
      </c>
      <c r="M115">
        <f>H115&lt;=5</f>
        <v>1</v>
      </c>
      <c r="N115">
        <f>H115&gt;5</f>
        <v>0</v>
      </c>
      <c r="O115">
        <f>I115&lt;=7</f>
        <v>0</v>
      </c>
      <c r="P115">
        <f>I115&gt;7</f>
        <v>1</v>
      </c>
      <c r="Q115">
        <f>J115&lt;=10</f>
        <v>1</v>
      </c>
      <c r="R115">
        <f>J115&gt;10</f>
        <v>0</v>
      </c>
    </row>
    <row r="116" spans="2:18" x14ac:dyDescent="0.25">
      <c r="B116" s="7" t="s">
        <v>44</v>
      </c>
      <c r="C116" t="s">
        <v>449</v>
      </c>
      <c r="D116" t="s">
        <v>450</v>
      </c>
      <c r="E116" t="s">
        <v>451</v>
      </c>
      <c r="F116" t="s">
        <v>452</v>
      </c>
      <c r="G116" s="8">
        <v>403</v>
      </c>
      <c r="H116" s="9">
        <v>33</v>
      </c>
      <c r="I116" s="9">
        <v>25</v>
      </c>
      <c r="J116" s="9">
        <v>1.3</v>
      </c>
      <c r="K116">
        <f>G116&lt;=164</f>
        <v>0</v>
      </c>
      <c r="L116">
        <f>G116&gt;164</f>
        <v>1</v>
      </c>
      <c r="M116">
        <f>H116&lt;=5</f>
        <v>0</v>
      </c>
      <c r="N116">
        <f>H116&gt;5</f>
        <v>1</v>
      </c>
      <c r="O116">
        <f>I116&lt;=7</f>
        <v>0</v>
      </c>
      <c r="P116">
        <f>I116&gt;7</f>
        <v>1</v>
      </c>
      <c r="Q116">
        <f>J116&lt;=10</f>
        <v>1</v>
      </c>
      <c r="R116">
        <f>J116&gt;10</f>
        <v>0</v>
      </c>
    </row>
    <row r="117" spans="2:18" x14ac:dyDescent="0.25">
      <c r="B117" s="7" t="s">
        <v>44</v>
      </c>
      <c r="C117" t="s">
        <v>453</v>
      </c>
      <c r="D117" t="s">
        <v>454</v>
      </c>
      <c r="E117" t="s">
        <v>455</v>
      </c>
      <c r="F117" t="s">
        <v>456</v>
      </c>
      <c r="G117" s="8">
        <v>280</v>
      </c>
      <c r="H117" s="9">
        <v>17</v>
      </c>
      <c r="I117" s="9">
        <v>28</v>
      </c>
      <c r="J117" s="9">
        <v>3.1</v>
      </c>
      <c r="K117">
        <f>G117&lt;=164</f>
        <v>0</v>
      </c>
      <c r="L117">
        <f>G117&gt;164</f>
        <v>1</v>
      </c>
      <c r="M117">
        <f>H117&lt;=5</f>
        <v>0</v>
      </c>
      <c r="N117">
        <f>H117&gt;5</f>
        <v>1</v>
      </c>
      <c r="O117">
        <f>I117&lt;=7</f>
        <v>0</v>
      </c>
      <c r="P117">
        <f>I117&gt;7</f>
        <v>1</v>
      </c>
      <c r="Q117">
        <f>J117&lt;=10</f>
        <v>1</v>
      </c>
      <c r="R117">
        <f>J117&gt;10</f>
        <v>0</v>
      </c>
    </row>
    <row r="118" spans="2:18" x14ac:dyDescent="0.25">
      <c r="B118" s="7" t="s">
        <v>44</v>
      </c>
      <c r="C118" t="s">
        <v>457</v>
      </c>
      <c r="D118" t="s">
        <v>458</v>
      </c>
      <c r="E118" t="s">
        <v>459</v>
      </c>
      <c r="F118" t="s">
        <v>460</v>
      </c>
      <c r="G118" s="8">
        <v>717</v>
      </c>
      <c r="H118" s="9">
        <v>81</v>
      </c>
      <c r="I118" s="9">
        <v>0.9</v>
      </c>
      <c r="J118" s="9">
        <v>0.1</v>
      </c>
      <c r="K118">
        <f>G118&lt;=164</f>
        <v>0</v>
      </c>
      <c r="L118">
        <f>G118&gt;164</f>
        <v>1</v>
      </c>
      <c r="M118">
        <f>H118&lt;=5</f>
        <v>0</v>
      </c>
      <c r="N118">
        <f>H118&gt;5</f>
        <v>1</v>
      </c>
      <c r="O118">
        <f>I118&lt;=7</f>
        <v>1</v>
      </c>
      <c r="P118">
        <f>I118&gt;7</f>
        <v>0</v>
      </c>
      <c r="Q118">
        <f>J118&lt;=10</f>
        <v>1</v>
      </c>
      <c r="R118">
        <f>J118&gt;10</f>
        <v>0</v>
      </c>
    </row>
    <row r="119" spans="2:18" x14ac:dyDescent="0.25">
      <c r="B119" s="7" t="s">
        <v>44</v>
      </c>
      <c r="C119" t="s">
        <v>461</v>
      </c>
      <c r="D119" t="s">
        <v>462</v>
      </c>
      <c r="E119" t="s">
        <v>463</v>
      </c>
      <c r="F119" t="s">
        <v>464</v>
      </c>
      <c r="G119" s="8">
        <v>342</v>
      </c>
      <c r="H119" s="9">
        <v>34</v>
      </c>
      <c r="I119" s="9">
        <v>6</v>
      </c>
      <c r="J119" s="9">
        <v>4</v>
      </c>
      <c r="K119">
        <f>G119&lt;=164</f>
        <v>0</v>
      </c>
      <c r="L119">
        <f>G119&gt;164</f>
        <v>1</v>
      </c>
      <c r="M119">
        <f>H119&lt;=5</f>
        <v>0</v>
      </c>
      <c r="N119">
        <f>H119&gt;5</f>
        <v>1</v>
      </c>
      <c r="O119">
        <f>I119&lt;=7</f>
        <v>1</v>
      </c>
      <c r="P119">
        <f>I119&gt;7</f>
        <v>0</v>
      </c>
      <c r="Q119">
        <f>J119&lt;=10</f>
        <v>1</v>
      </c>
      <c r="R119">
        <f>J119&gt;10</f>
        <v>0</v>
      </c>
    </row>
    <row r="120" spans="2:18" x14ac:dyDescent="0.25">
      <c r="B120" s="7" t="s">
        <v>44</v>
      </c>
      <c r="C120" t="s">
        <v>465</v>
      </c>
      <c r="D120" t="s">
        <v>466</v>
      </c>
      <c r="E120" t="s">
        <v>467</v>
      </c>
      <c r="F120" t="s">
        <v>468</v>
      </c>
      <c r="G120" s="8">
        <v>89</v>
      </c>
      <c r="H120" s="9">
        <v>0.3</v>
      </c>
      <c r="I120" s="9">
        <v>1.1</v>
      </c>
      <c r="J120" s="9">
        <v>23</v>
      </c>
      <c r="K120">
        <f>G120&lt;=164</f>
        <v>1</v>
      </c>
      <c r="L120">
        <f>G120&gt;164</f>
        <v>0</v>
      </c>
      <c r="M120">
        <f>H120&lt;=5</f>
        <v>1</v>
      </c>
      <c r="N120">
        <f>H120&gt;5</f>
        <v>0</v>
      </c>
      <c r="O120">
        <f>I120&lt;=7</f>
        <v>1</v>
      </c>
      <c r="P120">
        <f>I120&gt;7</f>
        <v>0</v>
      </c>
      <c r="Q120">
        <f>J120&lt;=10</f>
        <v>0</v>
      </c>
      <c r="R120">
        <f>J120&gt;10</f>
        <v>1</v>
      </c>
    </row>
    <row r="121" spans="2:18" x14ac:dyDescent="0.25">
      <c r="B121" s="7" t="s">
        <v>44</v>
      </c>
      <c r="C121" t="s">
        <v>469</v>
      </c>
      <c r="D121" t="s">
        <v>470</v>
      </c>
      <c r="E121" t="s">
        <v>471</v>
      </c>
      <c r="F121" t="s">
        <v>472</v>
      </c>
      <c r="G121" s="8">
        <v>52</v>
      </c>
      <c r="H121" s="9">
        <v>0.2</v>
      </c>
      <c r="I121" s="9">
        <v>0.3</v>
      </c>
      <c r="J121" s="9">
        <v>14</v>
      </c>
      <c r="K121">
        <f>G121&lt;=164</f>
        <v>1</v>
      </c>
      <c r="L121">
        <f>G121&gt;164</f>
        <v>0</v>
      </c>
      <c r="M121">
        <f>H121&lt;=5</f>
        <v>1</v>
      </c>
      <c r="N121">
        <f>H121&gt;5</f>
        <v>0</v>
      </c>
      <c r="O121">
        <f>I121&lt;=7</f>
        <v>1</v>
      </c>
      <c r="P121">
        <f>I121&gt;7</f>
        <v>0</v>
      </c>
      <c r="Q121">
        <f>J121&lt;=10</f>
        <v>0</v>
      </c>
      <c r="R121">
        <f>J121&gt;10</f>
        <v>1</v>
      </c>
    </row>
    <row r="122" spans="2:18" x14ac:dyDescent="0.25">
      <c r="B122" s="7" t="s">
        <v>44</v>
      </c>
      <c r="C122" t="s">
        <v>473</v>
      </c>
      <c r="D122" t="s">
        <v>474</v>
      </c>
      <c r="E122" t="s">
        <v>475</v>
      </c>
      <c r="F122" t="s">
        <v>476</v>
      </c>
      <c r="G122" s="8">
        <v>160</v>
      </c>
      <c r="H122" s="9">
        <v>15</v>
      </c>
      <c r="I122" s="9">
        <v>2</v>
      </c>
      <c r="J122" s="9">
        <v>9</v>
      </c>
      <c r="K122">
        <f>G122&lt;=164</f>
        <v>1</v>
      </c>
      <c r="L122">
        <f>G122&gt;164</f>
        <v>0</v>
      </c>
      <c r="M122">
        <f>H122&lt;=5</f>
        <v>0</v>
      </c>
      <c r="N122">
        <f>H122&gt;5</f>
        <v>1</v>
      </c>
      <c r="O122">
        <f>I122&lt;=7</f>
        <v>1</v>
      </c>
      <c r="P122">
        <f>I122&gt;7</f>
        <v>0</v>
      </c>
      <c r="Q122">
        <f>J122&lt;=10</f>
        <v>1</v>
      </c>
      <c r="R122">
        <f>J122&gt;10</f>
        <v>0</v>
      </c>
    </row>
    <row r="123" spans="2:18" x14ac:dyDescent="0.25">
      <c r="B123" s="7" t="s">
        <v>44</v>
      </c>
      <c r="C123" t="s">
        <v>477</v>
      </c>
      <c r="D123" t="s">
        <v>478</v>
      </c>
      <c r="E123" t="s">
        <v>479</v>
      </c>
      <c r="F123" t="s">
        <v>480</v>
      </c>
      <c r="G123" s="8">
        <v>32</v>
      </c>
      <c r="H123" s="9">
        <v>0.3</v>
      </c>
      <c r="I123" s="9">
        <v>0.7</v>
      </c>
      <c r="J123" s="9">
        <v>8</v>
      </c>
      <c r="K123">
        <f>G123&lt;=164</f>
        <v>1</v>
      </c>
      <c r="L123">
        <f>G123&gt;164</f>
        <v>0</v>
      </c>
      <c r="M123">
        <f>H123&lt;=5</f>
        <v>1</v>
      </c>
      <c r="N123">
        <f>H123&gt;5</f>
        <v>0</v>
      </c>
      <c r="O123">
        <f>I123&lt;=7</f>
        <v>1</v>
      </c>
      <c r="P123">
        <f>I123&gt;7</f>
        <v>0</v>
      </c>
      <c r="Q123">
        <f>J123&lt;=10</f>
        <v>1</v>
      </c>
      <c r="R123">
        <f>J123&gt;10</f>
        <v>0</v>
      </c>
    </row>
    <row r="124" spans="2:18" x14ac:dyDescent="0.25">
      <c r="B124" s="7" t="s">
        <v>44</v>
      </c>
      <c r="C124" t="s">
        <v>481</v>
      </c>
      <c r="D124" t="s">
        <v>482</v>
      </c>
      <c r="E124" t="s">
        <v>483</v>
      </c>
      <c r="F124" t="s">
        <v>484</v>
      </c>
      <c r="G124" s="8">
        <v>30</v>
      </c>
      <c r="H124" s="9">
        <v>0.2</v>
      </c>
      <c r="I124" s="9">
        <v>0.6</v>
      </c>
      <c r="J124" s="9">
        <v>8</v>
      </c>
      <c r="K124">
        <f>G124&lt;=164</f>
        <v>1</v>
      </c>
      <c r="L124">
        <f>G124&gt;164</f>
        <v>0</v>
      </c>
      <c r="M124">
        <f>H124&lt;=5</f>
        <v>1</v>
      </c>
      <c r="N124">
        <f>H124&gt;5</f>
        <v>0</v>
      </c>
      <c r="O124">
        <f>I124&lt;=7</f>
        <v>1</v>
      </c>
      <c r="P124">
        <f>I124&gt;7</f>
        <v>0</v>
      </c>
      <c r="Q124">
        <f>J124&lt;=10</f>
        <v>1</v>
      </c>
      <c r="R124">
        <f>J124&gt;10</f>
        <v>0</v>
      </c>
    </row>
    <row r="125" spans="2:18" x14ac:dyDescent="0.25">
      <c r="B125" s="7" t="s">
        <v>44</v>
      </c>
      <c r="C125" t="s">
        <v>485</v>
      </c>
      <c r="D125" t="s">
        <v>486</v>
      </c>
      <c r="E125" t="s">
        <v>487</v>
      </c>
      <c r="F125" t="s">
        <v>488</v>
      </c>
      <c r="G125" s="8">
        <v>42</v>
      </c>
      <c r="H125" s="9">
        <v>0.1</v>
      </c>
      <c r="I125" s="9">
        <v>0.8</v>
      </c>
      <c r="J125" s="9">
        <v>11</v>
      </c>
      <c r="K125">
        <f>G125&lt;=164</f>
        <v>1</v>
      </c>
      <c r="L125">
        <f>G125&gt;164</f>
        <v>0</v>
      </c>
      <c r="M125">
        <f>H125&lt;=5</f>
        <v>1</v>
      </c>
      <c r="N125">
        <f>H125&gt;5</f>
        <v>0</v>
      </c>
      <c r="O125">
        <f>I125&lt;=7</f>
        <v>1</v>
      </c>
      <c r="P125">
        <f>I125&gt;7</f>
        <v>0</v>
      </c>
      <c r="Q125">
        <f>J125&lt;=10</f>
        <v>0</v>
      </c>
      <c r="R125">
        <f>J125&gt;10</f>
        <v>1</v>
      </c>
    </row>
    <row r="126" spans="2:18" x14ac:dyDescent="0.25">
      <c r="B126" s="7" t="s">
        <v>44</v>
      </c>
      <c r="C126" t="s">
        <v>489</v>
      </c>
      <c r="D126" t="s">
        <v>490</v>
      </c>
      <c r="E126" t="s">
        <v>491</v>
      </c>
      <c r="F126" t="s">
        <v>492</v>
      </c>
      <c r="G126" s="8">
        <v>57</v>
      </c>
      <c r="H126" s="9">
        <v>0.3</v>
      </c>
      <c r="I126" s="9">
        <v>0.7</v>
      </c>
      <c r="J126" s="9">
        <v>14</v>
      </c>
      <c r="K126">
        <f>G126&lt;=164</f>
        <v>1</v>
      </c>
      <c r="L126">
        <f>G126&gt;164</f>
        <v>0</v>
      </c>
      <c r="M126">
        <f>H126&lt;=5</f>
        <v>1</v>
      </c>
      <c r="N126">
        <f>H126&gt;5</f>
        <v>0</v>
      </c>
      <c r="O126">
        <f>I126&lt;=7</f>
        <v>1</v>
      </c>
      <c r="P126">
        <f>I126&gt;7</f>
        <v>0</v>
      </c>
      <c r="Q126">
        <f>J126&lt;=10</f>
        <v>0</v>
      </c>
      <c r="R126">
        <f>J126&gt;10</f>
        <v>1</v>
      </c>
    </row>
    <row r="127" spans="2:18" x14ac:dyDescent="0.25">
      <c r="B127" s="7" t="s">
        <v>44</v>
      </c>
      <c r="C127" t="s">
        <v>493</v>
      </c>
      <c r="D127" t="s">
        <v>494</v>
      </c>
      <c r="E127" t="s">
        <v>495</v>
      </c>
      <c r="F127" t="s">
        <v>496</v>
      </c>
      <c r="G127" s="8">
        <v>47</v>
      </c>
      <c r="H127" s="9">
        <v>0.1</v>
      </c>
      <c r="I127" s="9">
        <v>0.9</v>
      </c>
      <c r="J127" s="9">
        <v>12</v>
      </c>
      <c r="K127">
        <f>G127&lt;=164</f>
        <v>1</v>
      </c>
      <c r="L127">
        <f>G127&gt;164</f>
        <v>0</v>
      </c>
      <c r="M127">
        <f>H127&lt;=5</f>
        <v>1</v>
      </c>
      <c r="N127">
        <f>H127&gt;5</f>
        <v>0</v>
      </c>
      <c r="O127">
        <f>I127&lt;=7</f>
        <v>1</v>
      </c>
      <c r="P127">
        <f>I127&gt;7</f>
        <v>0</v>
      </c>
      <c r="Q127">
        <f>J127&lt;=10</f>
        <v>0</v>
      </c>
      <c r="R127">
        <f>J127&gt;10</f>
        <v>1</v>
      </c>
    </row>
    <row r="128" spans="2:18" x14ac:dyDescent="0.25">
      <c r="B128" s="7" t="s">
        <v>44</v>
      </c>
      <c r="C128" t="s">
        <v>497</v>
      </c>
      <c r="D128" t="s">
        <v>498</v>
      </c>
      <c r="E128" t="s">
        <v>499</v>
      </c>
      <c r="F128" t="s">
        <v>500</v>
      </c>
      <c r="G128" s="8">
        <v>35</v>
      </c>
      <c r="H128" s="9">
        <v>0.4</v>
      </c>
      <c r="I128" s="9">
        <v>2.4</v>
      </c>
      <c r="J128" s="9">
        <v>7</v>
      </c>
      <c r="K128">
        <f>G128&lt;=164</f>
        <v>1</v>
      </c>
      <c r="L128">
        <f>G128&gt;164</f>
        <v>0</v>
      </c>
      <c r="M128">
        <f>H128&lt;=5</f>
        <v>1</v>
      </c>
      <c r="N128">
        <f>H128&gt;5</f>
        <v>0</v>
      </c>
      <c r="O128">
        <f>I128&lt;=7</f>
        <v>1</v>
      </c>
      <c r="P128">
        <f>I128&gt;7</f>
        <v>0</v>
      </c>
      <c r="Q128">
        <f>J128&lt;=10</f>
        <v>1</v>
      </c>
      <c r="R128">
        <f>J128&gt;10</f>
        <v>0</v>
      </c>
    </row>
    <row r="129" spans="2:18" x14ac:dyDescent="0.25">
      <c r="B129" s="7" t="s">
        <v>44</v>
      </c>
      <c r="C129" t="s">
        <v>501</v>
      </c>
      <c r="D129" t="s">
        <v>502</v>
      </c>
      <c r="E129" t="s">
        <v>503</v>
      </c>
      <c r="F129" t="s">
        <v>504</v>
      </c>
      <c r="G129" s="8">
        <v>23</v>
      </c>
      <c r="H129" s="9">
        <v>0.4</v>
      </c>
      <c r="I129" s="9">
        <v>2.9</v>
      </c>
      <c r="J129" s="9">
        <v>3.6</v>
      </c>
      <c r="K129">
        <f>G129&lt;=164</f>
        <v>1</v>
      </c>
      <c r="L129">
        <f>G129&gt;164</f>
        <v>0</v>
      </c>
      <c r="M129">
        <f>H129&lt;=5</f>
        <v>1</v>
      </c>
      <c r="N129">
        <f>H129&gt;5</f>
        <v>0</v>
      </c>
      <c r="O129">
        <f>I129&lt;=7</f>
        <v>1</v>
      </c>
      <c r="P129">
        <f>I129&gt;7</f>
        <v>0</v>
      </c>
      <c r="Q129">
        <f>J129&lt;=10</f>
        <v>1</v>
      </c>
      <c r="R129">
        <f>J129&gt;10</f>
        <v>0</v>
      </c>
    </row>
    <row r="130" spans="2:18" x14ac:dyDescent="0.25">
      <c r="B130" s="7" t="s">
        <v>44</v>
      </c>
      <c r="C130" t="s">
        <v>505</v>
      </c>
      <c r="D130" t="s">
        <v>506</v>
      </c>
      <c r="E130" t="s">
        <v>507</v>
      </c>
      <c r="F130" t="s">
        <v>508</v>
      </c>
      <c r="G130" s="8">
        <v>25</v>
      </c>
      <c r="H130" s="9">
        <v>0.3</v>
      </c>
      <c r="I130" s="9">
        <v>2</v>
      </c>
      <c r="J130" s="9">
        <v>5</v>
      </c>
      <c r="K130">
        <f>G130&lt;=164</f>
        <v>1</v>
      </c>
      <c r="L130">
        <f>G130&gt;164</f>
        <v>0</v>
      </c>
      <c r="M130">
        <f>H130&lt;=5</f>
        <v>1</v>
      </c>
      <c r="N130">
        <f>H130&gt;5</f>
        <v>0</v>
      </c>
      <c r="O130">
        <f>I130&lt;=7</f>
        <v>1</v>
      </c>
      <c r="P130">
        <f>I130&gt;7</f>
        <v>0</v>
      </c>
      <c r="Q130">
        <f>J130&lt;=10</f>
        <v>1</v>
      </c>
      <c r="R130">
        <f>J130&gt;10</f>
        <v>0</v>
      </c>
    </row>
    <row r="131" spans="2:18" x14ac:dyDescent="0.25">
      <c r="B131" s="7" t="s">
        <v>44</v>
      </c>
      <c r="C131" t="s">
        <v>509</v>
      </c>
      <c r="D131" t="s">
        <v>510</v>
      </c>
      <c r="E131" t="s">
        <v>511</v>
      </c>
      <c r="F131" t="s">
        <v>512</v>
      </c>
      <c r="G131" s="8">
        <v>17</v>
      </c>
      <c r="H131" s="9">
        <v>0.3</v>
      </c>
      <c r="I131" s="9">
        <v>1.2</v>
      </c>
      <c r="J131" s="9">
        <v>3.1</v>
      </c>
      <c r="K131">
        <f>G131&lt;=164</f>
        <v>1</v>
      </c>
      <c r="L131">
        <f>G131&gt;164</f>
        <v>0</v>
      </c>
      <c r="M131">
        <f>H131&lt;=5</f>
        <v>1</v>
      </c>
      <c r="N131">
        <f>H131&gt;5</f>
        <v>0</v>
      </c>
      <c r="O131">
        <f>I131&lt;=7</f>
        <v>1</v>
      </c>
      <c r="P131">
        <f>I131&gt;7</f>
        <v>0</v>
      </c>
      <c r="Q131">
        <f>J131&lt;=10</f>
        <v>1</v>
      </c>
      <c r="R131">
        <f>J131&gt;10</f>
        <v>0</v>
      </c>
    </row>
    <row r="132" spans="2:18" x14ac:dyDescent="0.25">
      <c r="B132" s="7" t="s">
        <v>44</v>
      </c>
      <c r="C132" t="s">
        <v>513</v>
      </c>
      <c r="D132" t="s">
        <v>514</v>
      </c>
      <c r="E132" t="s">
        <v>515</v>
      </c>
      <c r="F132" t="s">
        <v>516</v>
      </c>
      <c r="G132" s="8">
        <v>18</v>
      </c>
      <c r="H132" s="9">
        <v>0.2</v>
      </c>
      <c r="I132" s="9">
        <v>0.9</v>
      </c>
      <c r="J132" s="9">
        <v>3.9</v>
      </c>
      <c r="K132">
        <f>G132&lt;=164</f>
        <v>1</v>
      </c>
      <c r="L132">
        <f>G132&gt;164</f>
        <v>0</v>
      </c>
      <c r="M132">
        <f>H132&lt;=5</f>
        <v>1</v>
      </c>
      <c r="N132">
        <f>H132&gt;5</f>
        <v>0</v>
      </c>
      <c r="O132">
        <f>I132&lt;=7</f>
        <v>1</v>
      </c>
      <c r="P132">
        <f>I132&gt;7</f>
        <v>0</v>
      </c>
      <c r="Q132">
        <f>J132&lt;=10</f>
        <v>1</v>
      </c>
      <c r="R132">
        <f>J132&gt;10</f>
        <v>0</v>
      </c>
    </row>
    <row r="133" spans="2:18" x14ac:dyDescent="0.25">
      <c r="B133" s="7" t="s">
        <v>44</v>
      </c>
      <c r="C133" t="s">
        <v>517</v>
      </c>
      <c r="D133" t="s">
        <v>518</v>
      </c>
      <c r="E133" t="s">
        <v>519</v>
      </c>
      <c r="F133" t="s">
        <v>520</v>
      </c>
      <c r="G133" s="8">
        <v>15</v>
      </c>
      <c r="H133" s="9">
        <v>0.1</v>
      </c>
      <c r="I133" s="9">
        <v>0.7</v>
      </c>
      <c r="J133" s="9">
        <v>3.6</v>
      </c>
      <c r="K133">
        <f>G133&lt;=164</f>
        <v>1</v>
      </c>
      <c r="L133">
        <f>G133&gt;164</f>
        <v>0</v>
      </c>
      <c r="M133">
        <f>H133&lt;=5</f>
        <v>1</v>
      </c>
      <c r="N133">
        <f>H133&gt;5</f>
        <v>0</v>
      </c>
      <c r="O133">
        <f>I133&lt;=7</f>
        <v>1</v>
      </c>
      <c r="P133">
        <f>I133&gt;7</f>
        <v>0</v>
      </c>
      <c r="Q133">
        <f>J133&lt;=10</f>
        <v>1</v>
      </c>
      <c r="R133">
        <f>J133&gt;10</f>
        <v>0</v>
      </c>
    </row>
    <row r="134" spans="2:18" x14ac:dyDescent="0.25">
      <c r="B134" s="7" t="s">
        <v>44</v>
      </c>
      <c r="C134" t="s">
        <v>521</v>
      </c>
      <c r="D134" t="s">
        <v>522</v>
      </c>
      <c r="E134" t="s">
        <v>523</v>
      </c>
      <c r="F134" t="s">
        <v>524</v>
      </c>
      <c r="G134" s="8">
        <v>14</v>
      </c>
      <c r="H134" s="9">
        <v>0.2</v>
      </c>
      <c r="I134" s="9">
        <v>0.7</v>
      </c>
      <c r="J134" s="9">
        <v>3</v>
      </c>
      <c r="K134">
        <f>G134&lt;=164</f>
        <v>1</v>
      </c>
      <c r="L134">
        <f>G134&gt;164</f>
        <v>0</v>
      </c>
      <c r="M134">
        <f>H134&lt;=5</f>
        <v>1</v>
      </c>
      <c r="N134">
        <f>H134&gt;5</f>
        <v>0</v>
      </c>
      <c r="O134">
        <f>I134&lt;=7</f>
        <v>1</v>
      </c>
      <c r="P134">
        <f>I134&gt;7</f>
        <v>0</v>
      </c>
      <c r="Q134">
        <f>J134&lt;=10</f>
        <v>1</v>
      </c>
      <c r="R134">
        <f>J134&gt;10</f>
        <v>0</v>
      </c>
    </row>
    <row r="135" spans="2:18" x14ac:dyDescent="0.25">
      <c r="B135" s="7" t="s">
        <v>44</v>
      </c>
      <c r="C135" t="s">
        <v>525</v>
      </c>
      <c r="D135" t="s">
        <v>526</v>
      </c>
      <c r="E135" t="s">
        <v>527</v>
      </c>
      <c r="F135" t="s">
        <v>528</v>
      </c>
      <c r="G135" s="8">
        <v>20</v>
      </c>
      <c r="H135" s="9">
        <v>0.3</v>
      </c>
      <c r="I135" s="9">
        <v>1.5</v>
      </c>
      <c r="J135" s="9">
        <v>3.3</v>
      </c>
      <c r="K135">
        <f>G135&lt;=164</f>
        <v>1</v>
      </c>
      <c r="L135">
        <f>G135&gt;164</f>
        <v>0</v>
      </c>
      <c r="M135">
        <f>H135&lt;=5</f>
        <v>1</v>
      </c>
      <c r="N135">
        <f>H135&gt;5</f>
        <v>0</v>
      </c>
      <c r="O135">
        <f>I135&lt;=7</f>
        <v>1</v>
      </c>
      <c r="P135">
        <f>I135&gt;7</f>
        <v>0</v>
      </c>
      <c r="Q135">
        <f>J135&lt;=10</f>
        <v>1</v>
      </c>
      <c r="R135">
        <f>J135&gt;10</f>
        <v>0</v>
      </c>
    </row>
    <row r="136" spans="2:18" x14ac:dyDescent="0.25">
      <c r="B136" s="7" t="s">
        <v>44</v>
      </c>
      <c r="C136" t="s">
        <v>529</v>
      </c>
      <c r="D136" t="s">
        <v>530</v>
      </c>
      <c r="E136" t="s">
        <v>531</v>
      </c>
      <c r="F136" t="s">
        <v>532</v>
      </c>
      <c r="G136" s="8">
        <v>26</v>
      </c>
      <c r="H136" s="9">
        <v>0.2</v>
      </c>
      <c r="I136" s="9">
        <v>1</v>
      </c>
      <c r="J136" s="9">
        <v>6</v>
      </c>
      <c r="K136">
        <f>G136&lt;=164</f>
        <v>1</v>
      </c>
      <c r="L136">
        <f>G136&gt;164</f>
        <v>0</v>
      </c>
      <c r="M136">
        <f>H136&lt;=5</f>
        <v>1</v>
      </c>
      <c r="N136">
        <f>H136&gt;5</f>
        <v>0</v>
      </c>
      <c r="O136">
        <f>I136&lt;=7</f>
        <v>1</v>
      </c>
      <c r="P136">
        <f>I136&gt;7</f>
        <v>0</v>
      </c>
      <c r="Q136">
        <f>J136&lt;=10</f>
        <v>1</v>
      </c>
      <c r="R136">
        <f>J136&gt;10</f>
        <v>0</v>
      </c>
    </row>
    <row r="137" spans="2:18" x14ac:dyDescent="0.25">
      <c r="B137" s="7" t="s">
        <v>44</v>
      </c>
      <c r="C137" t="s">
        <v>533</v>
      </c>
      <c r="D137" t="s">
        <v>534</v>
      </c>
      <c r="E137" t="s">
        <v>535</v>
      </c>
      <c r="F137" t="s">
        <v>536</v>
      </c>
      <c r="G137" s="8">
        <v>41</v>
      </c>
      <c r="H137" s="9">
        <v>0.2</v>
      </c>
      <c r="I137" s="9">
        <v>0.9</v>
      </c>
      <c r="J137" s="9">
        <v>10</v>
      </c>
      <c r="K137">
        <f>G137&lt;=164</f>
        <v>1</v>
      </c>
      <c r="L137">
        <f>G137&gt;164</f>
        <v>0</v>
      </c>
      <c r="M137">
        <f>H137&lt;=5</f>
        <v>1</v>
      </c>
      <c r="N137">
        <f>H137&gt;5</f>
        <v>0</v>
      </c>
      <c r="O137">
        <f>I137&lt;=7</f>
        <v>1</v>
      </c>
      <c r="P137">
        <f>I137&gt;7</f>
        <v>0</v>
      </c>
      <c r="Q137">
        <f>J137&lt;=10</f>
        <v>1</v>
      </c>
      <c r="R137">
        <f>J137&gt;10</f>
        <v>0</v>
      </c>
    </row>
    <row r="138" spans="2:18" x14ac:dyDescent="0.25">
      <c r="B138" s="7" t="s">
        <v>44</v>
      </c>
      <c r="C138" t="s">
        <v>537</v>
      </c>
      <c r="D138" t="s">
        <v>538</v>
      </c>
      <c r="E138" t="s">
        <v>539</v>
      </c>
      <c r="F138" t="s">
        <v>540</v>
      </c>
      <c r="G138" s="8">
        <v>400</v>
      </c>
      <c r="H138" s="9">
        <v>5</v>
      </c>
      <c r="I138" s="9">
        <v>80</v>
      </c>
      <c r="J138" s="9">
        <v>8</v>
      </c>
      <c r="K138">
        <f>G138&lt;=164</f>
        <v>0</v>
      </c>
      <c r="L138">
        <f>G138&gt;164</f>
        <v>1</v>
      </c>
      <c r="M138">
        <f>H138&lt;=5</f>
        <v>1</v>
      </c>
      <c r="N138">
        <f>H138&gt;5</f>
        <v>0</v>
      </c>
      <c r="O138">
        <f>I138&lt;=7</f>
        <v>0</v>
      </c>
      <c r="P138">
        <f>I138&gt;7</f>
        <v>1</v>
      </c>
      <c r="Q138">
        <f>J138&lt;=10</f>
        <v>1</v>
      </c>
      <c r="R138">
        <f>J138&gt;10</f>
        <v>0</v>
      </c>
    </row>
    <row r="139" spans="2:18" x14ac:dyDescent="0.25">
      <c r="B139" s="7" t="s">
        <v>44</v>
      </c>
      <c r="C139" t="s">
        <v>541</v>
      </c>
      <c r="D139" t="s">
        <v>542</v>
      </c>
      <c r="E139" t="s">
        <v>543</v>
      </c>
      <c r="F139" t="s">
        <v>544</v>
      </c>
      <c r="G139" s="8">
        <v>380</v>
      </c>
      <c r="H139" s="9">
        <v>5</v>
      </c>
      <c r="I139" s="9">
        <v>20</v>
      </c>
      <c r="J139" s="9">
        <v>70</v>
      </c>
      <c r="K139">
        <f>G139&lt;=164</f>
        <v>0</v>
      </c>
      <c r="L139">
        <f>G139&gt;164</f>
        <v>1</v>
      </c>
      <c r="M139">
        <f>H139&lt;=5</f>
        <v>1</v>
      </c>
      <c r="N139">
        <f>H139&gt;5</f>
        <v>0</v>
      </c>
      <c r="O139">
        <f>I139&lt;=7</f>
        <v>0</v>
      </c>
      <c r="P139">
        <f>I139&gt;7</f>
        <v>1</v>
      </c>
      <c r="Q139">
        <f>J139&lt;=10</f>
        <v>0</v>
      </c>
      <c r="R139">
        <f>J139&gt;10</f>
        <v>1</v>
      </c>
    </row>
    <row r="140" spans="2:18" x14ac:dyDescent="0.25">
      <c r="B140" s="7" t="s">
        <v>44</v>
      </c>
      <c r="C140" t="s">
        <v>545</v>
      </c>
      <c r="D140" t="s">
        <v>546</v>
      </c>
      <c r="E140" t="s">
        <v>547</v>
      </c>
      <c r="F140" t="s">
        <v>548</v>
      </c>
      <c r="G140" s="8">
        <v>588</v>
      </c>
      <c r="H140" s="9">
        <v>50</v>
      </c>
      <c r="I140" s="9">
        <v>25</v>
      </c>
      <c r="J140" s="9">
        <v>20</v>
      </c>
      <c r="K140">
        <f>G140&lt;=164</f>
        <v>0</v>
      </c>
      <c r="L140">
        <f>G140&gt;164</f>
        <v>1</v>
      </c>
      <c r="M140">
        <f>H140&lt;=5</f>
        <v>0</v>
      </c>
      <c r="N140">
        <f>H140&gt;5</f>
        <v>1</v>
      </c>
      <c r="O140">
        <f>I140&lt;=7</f>
        <v>0</v>
      </c>
      <c r="P140">
        <f>I140&gt;7</f>
        <v>1</v>
      </c>
      <c r="Q140">
        <f>J140&lt;=10</f>
        <v>0</v>
      </c>
      <c r="R140">
        <f>J140&gt;10</f>
        <v>1</v>
      </c>
    </row>
    <row r="141" spans="2:18" x14ac:dyDescent="0.25">
      <c r="B141" s="7" t="s">
        <v>44</v>
      </c>
      <c r="C141" t="s">
        <v>549</v>
      </c>
      <c r="D141" t="s">
        <v>550</v>
      </c>
      <c r="E141" t="s">
        <v>551</v>
      </c>
      <c r="F141" t="s">
        <v>552</v>
      </c>
      <c r="G141" s="8">
        <v>614</v>
      </c>
      <c r="H141" s="9">
        <v>56</v>
      </c>
      <c r="I141" s="9">
        <v>21</v>
      </c>
      <c r="J141" s="9">
        <v>19</v>
      </c>
      <c r="K141">
        <f>G141&lt;=164</f>
        <v>0</v>
      </c>
      <c r="L141">
        <f>G141&gt;164</f>
        <v>1</v>
      </c>
      <c r="M141">
        <f>H141&lt;=5</f>
        <v>0</v>
      </c>
      <c r="N141">
        <f>H141&gt;5</f>
        <v>1</v>
      </c>
      <c r="O141">
        <f>I141&lt;=7</f>
        <v>0</v>
      </c>
      <c r="P141">
        <f>I141&gt;7</f>
        <v>1</v>
      </c>
      <c r="Q141">
        <f>J141&lt;=10</f>
        <v>0</v>
      </c>
      <c r="R141">
        <f>J141&gt;10</f>
        <v>1</v>
      </c>
    </row>
    <row r="142" spans="2:18" x14ac:dyDescent="0.25">
      <c r="B142" s="7" t="s">
        <v>44</v>
      </c>
      <c r="C142" t="s">
        <v>553</v>
      </c>
      <c r="D142" t="s">
        <v>554</v>
      </c>
      <c r="E142" t="s">
        <v>555</v>
      </c>
      <c r="F142" t="s">
        <v>556</v>
      </c>
      <c r="G142" s="8">
        <v>489</v>
      </c>
      <c r="H142" s="9">
        <v>20</v>
      </c>
      <c r="I142" s="9">
        <v>10</v>
      </c>
      <c r="J142" s="9">
        <v>66</v>
      </c>
      <c r="K142">
        <f>G142&lt;=164</f>
        <v>0</v>
      </c>
      <c r="L142">
        <f>G142&gt;164</f>
        <v>1</v>
      </c>
      <c r="M142">
        <f>H142&lt;=5</f>
        <v>0</v>
      </c>
      <c r="N142">
        <f>H142&gt;5</f>
        <v>1</v>
      </c>
      <c r="O142">
        <f>I142&lt;=7</f>
        <v>0</v>
      </c>
      <c r="P142">
        <f>I142&gt;7</f>
        <v>1</v>
      </c>
      <c r="Q142">
        <f>J142&lt;=10</f>
        <v>0</v>
      </c>
      <c r="R142">
        <f>J142&gt;10</f>
        <v>1</v>
      </c>
    </row>
    <row r="143" spans="2:18" x14ac:dyDescent="0.25">
      <c r="B143" s="7" t="s">
        <v>44</v>
      </c>
      <c r="C143" t="s">
        <v>557</v>
      </c>
      <c r="D143" t="s">
        <v>558</v>
      </c>
      <c r="E143" t="s">
        <v>559</v>
      </c>
      <c r="F143" t="s">
        <v>560</v>
      </c>
      <c r="G143" s="8">
        <v>462</v>
      </c>
      <c r="H143" s="9">
        <v>29</v>
      </c>
      <c r="I143" s="9">
        <v>13</v>
      </c>
      <c r="J143" s="9">
        <v>45</v>
      </c>
      <c r="K143">
        <f>G143&lt;=164</f>
        <v>0</v>
      </c>
      <c r="L143">
        <f>G143&gt;164</f>
        <v>1</v>
      </c>
      <c r="M143">
        <f>H143&lt;=5</f>
        <v>0</v>
      </c>
      <c r="N143">
        <f>H143&gt;5</f>
        <v>1</v>
      </c>
      <c r="O143">
        <f>I143&lt;=7</f>
        <v>0</v>
      </c>
      <c r="P143">
        <f>I143&gt;7</f>
        <v>1</v>
      </c>
      <c r="Q143">
        <f>J143&lt;=10</f>
        <v>0</v>
      </c>
      <c r="R143">
        <f>J143&gt;10</f>
        <v>1</v>
      </c>
    </row>
    <row r="144" spans="2:18" x14ac:dyDescent="0.25">
      <c r="B144" s="7" t="s">
        <v>44</v>
      </c>
      <c r="C144" t="s">
        <v>561</v>
      </c>
      <c r="D144" t="s">
        <v>562</v>
      </c>
      <c r="E144" t="s">
        <v>563</v>
      </c>
      <c r="F144" t="s">
        <v>564</v>
      </c>
      <c r="G144" s="8">
        <v>277</v>
      </c>
      <c r="H144" s="9">
        <v>0.2</v>
      </c>
      <c r="I144" s="9">
        <v>1.8</v>
      </c>
      <c r="J144" s="9">
        <v>75</v>
      </c>
      <c r="K144">
        <f>G144&lt;=164</f>
        <v>0</v>
      </c>
      <c r="L144">
        <f>G144&gt;164</f>
        <v>1</v>
      </c>
      <c r="M144">
        <f>H144&lt;=5</f>
        <v>1</v>
      </c>
      <c r="N144">
        <f>H144&gt;5</f>
        <v>0</v>
      </c>
      <c r="O144">
        <f>I144&lt;=7</f>
        <v>1</v>
      </c>
      <c r="P144">
        <f>I144&gt;7</f>
        <v>0</v>
      </c>
      <c r="Q144">
        <f>J144&lt;=10</f>
        <v>0</v>
      </c>
      <c r="R144">
        <f>J144&gt;10</f>
        <v>1</v>
      </c>
    </row>
    <row r="145" spans="2:18" x14ac:dyDescent="0.25">
      <c r="B145" s="7" t="s">
        <v>44</v>
      </c>
      <c r="C145" t="s">
        <v>565</v>
      </c>
      <c r="D145" t="s">
        <v>566</v>
      </c>
      <c r="E145" t="s">
        <v>567</v>
      </c>
      <c r="F145" t="s">
        <v>568</v>
      </c>
      <c r="G145" s="8">
        <v>598</v>
      </c>
      <c r="H145" s="9">
        <v>43</v>
      </c>
      <c r="I145" s="9">
        <v>8</v>
      </c>
      <c r="J145" s="9">
        <v>46</v>
      </c>
      <c r="K145">
        <f>G145&lt;=164</f>
        <v>0</v>
      </c>
      <c r="L145">
        <f>G145&gt;164</f>
        <v>1</v>
      </c>
      <c r="M145">
        <f>H145&lt;=5</f>
        <v>0</v>
      </c>
      <c r="N145">
        <f>H145&gt;5</f>
        <v>1</v>
      </c>
      <c r="O145">
        <f>I145&lt;=7</f>
        <v>0</v>
      </c>
      <c r="P145">
        <f>I145&gt;7</f>
        <v>1</v>
      </c>
      <c r="Q145">
        <f>J145&lt;=10</f>
        <v>0</v>
      </c>
      <c r="R145">
        <f>J145&gt;10</f>
        <v>1</v>
      </c>
    </row>
    <row r="146" spans="2:18" x14ac:dyDescent="0.25">
      <c r="B146" s="7" t="s">
        <v>44</v>
      </c>
      <c r="C146" t="s">
        <v>569</v>
      </c>
      <c r="D146" t="s">
        <v>570</v>
      </c>
      <c r="E146" t="s">
        <v>571</v>
      </c>
      <c r="F146" t="s">
        <v>572</v>
      </c>
      <c r="G146" s="8">
        <v>553</v>
      </c>
      <c r="H146" s="9">
        <v>44</v>
      </c>
      <c r="I146" s="9">
        <v>18</v>
      </c>
      <c r="J146" s="9">
        <v>30</v>
      </c>
      <c r="K146">
        <f>G146&lt;=164</f>
        <v>0</v>
      </c>
      <c r="L146">
        <f>G146&gt;164</f>
        <v>1</v>
      </c>
      <c r="M146">
        <f>H146&lt;=5</f>
        <v>0</v>
      </c>
      <c r="N146">
        <f>H146&gt;5</f>
        <v>1</v>
      </c>
      <c r="O146">
        <f>I146&lt;=7</f>
        <v>0</v>
      </c>
      <c r="P146">
        <f>I146&gt;7</f>
        <v>1</v>
      </c>
      <c r="Q146">
        <f>J146&lt;=10</f>
        <v>0</v>
      </c>
      <c r="R146">
        <f>J146&gt;10</f>
        <v>1</v>
      </c>
    </row>
    <row r="147" spans="2:18" x14ac:dyDescent="0.25">
      <c r="B147" s="7" t="s">
        <v>44</v>
      </c>
      <c r="C147" t="s">
        <v>573</v>
      </c>
      <c r="D147" t="s">
        <v>574</v>
      </c>
      <c r="E147" t="s">
        <v>575</v>
      </c>
      <c r="F147" t="s">
        <v>576</v>
      </c>
      <c r="G147" s="8">
        <v>654</v>
      </c>
      <c r="H147" s="9">
        <v>65</v>
      </c>
      <c r="I147" s="9">
        <v>15</v>
      </c>
      <c r="J147" s="9">
        <v>14</v>
      </c>
      <c r="K147">
        <f>G147&lt;=164</f>
        <v>0</v>
      </c>
      <c r="L147">
        <f>G147&gt;164</f>
        <v>1</v>
      </c>
      <c r="M147">
        <f>H147&lt;=5</f>
        <v>0</v>
      </c>
      <c r="N147">
        <f>H147&gt;5</f>
        <v>1</v>
      </c>
      <c r="O147">
        <f>I147&lt;=7</f>
        <v>0</v>
      </c>
      <c r="P147">
        <f>I147&gt;7</f>
        <v>1</v>
      </c>
      <c r="Q147">
        <f>J147&lt;=10</f>
        <v>0</v>
      </c>
      <c r="R147">
        <f>J147&gt;10</f>
        <v>1</v>
      </c>
    </row>
    <row r="148" spans="2:18" x14ac:dyDescent="0.25">
      <c r="B148" s="7" t="s">
        <v>44</v>
      </c>
      <c r="C148" t="s">
        <v>577</v>
      </c>
      <c r="D148" t="s">
        <v>578</v>
      </c>
      <c r="E148" t="s">
        <v>579</v>
      </c>
      <c r="F148" t="s">
        <v>580</v>
      </c>
      <c r="G148" s="8">
        <v>884</v>
      </c>
      <c r="H148" s="9">
        <v>100</v>
      </c>
      <c r="I148" s="9">
        <v>0</v>
      </c>
      <c r="J148" s="9">
        <v>0</v>
      </c>
      <c r="K148">
        <f>G148&lt;=164</f>
        <v>0</v>
      </c>
      <c r="L148">
        <f>G148&gt;164</f>
        <v>1</v>
      </c>
      <c r="M148">
        <f>H148&lt;=5</f>
        <v>0</v>
      </c>
      <c r="N148">
        <f>H148&gt;5</f>
        <v>1</v>
      </c>
      <c r="O148">
        <f>I148&lt;=7</f>
        <v>1</v>
      </c>
      <c r="P148">
        <f>I148&gt;7</f>
        <v>0</v>
      </c>
      <c r="Q148">
        <f>J148&lt;=10</f>
        <v>1</v>
      </c>
      <c r="R148">
        <f>J148&gt;10</f>
        <v>0</v>
      </c>
    </row>
    <row r="149" spans="2:18" x14ac:dyDescent="0.25">
      <c r="B149" s="7" t="s">
        <v>44</v>
      </c>
      <c r="C149" t="s">
        <v>581</v>
      </c>
      <c r="D149" t="s">
        <v>582</v>
      </c>
      <c r="E149" t="s">
        <v>583</v>
      </c>
      <c r="F149" t="s">
        <v>584</v>
      </c>
      <c r="G149" s="8">
        <v>862</v>
      </c>
      <c r="H149" s="9">
        <v>100</v>
      </c>
      <c r="I149" s="9">
        <v>0</v>
      </c>
      <c r="J149" s="9">
        <v>0</v>
      </c>
      <c r="K149">
        <f>G149&lt;=164</f>
        <v>0</v>
      </c>
      <c r="L149">
        <f>G149&gt;164</f>
        <v>1</v>
      </c>
      <c r="M149">
        <f>H149&lt;=5</f>
        <v>0</v>
      </c>
      <c r="N149">
        <f>H149&gt;5</f>
        <v>1</v>
      </c>
      <c r="O149">
        <f>I149&lt;=7</f>
        <v>1</v>
      </c>
      <c r="P149">
        <f>I149&gt;7</f>
        <v>0</v>
      </c>
      <c r="Q149">
        <f>J149&lt;=10</f>
        <v>1</v>
      </c>
      <c r="R149">
        <f>J149&gt;10</f>
        <v>0</v>
      </c>
    </row>
    <row r="150" spans="2:18" x14ac:dyDescent="0.25">
      <c r="B150" s="7" t="s">
        <v>44</v>
      </c>
      <c r="C150" t="s">
        <v>585</v>
      </c>
      <c r="D150" t="s">
        <v>586</v>
      </c>
      <c r="E150" t="s">
        <v>587</v>
      </c>
      <c r="F150" t="s">
        <v>588</v>
      </c>
      <c r="G150" s="8">
        <v>304</v>
      </c>
      <c r="H150" s="9">
        <v>0</v>
      </c>
      <c r="I150" s="9">
        <v>0.3</v>
      </c>
      <c r="J150" s="9">
        <v>82</v>
      </c>
      <c r="K150">
        <f>G150&lt;=164</f>
        <v>0</v>
      </c>
      <c r="L150">
        <f>G150&gt;164</f>
        <v>1</v>
      </c>
      <c r="M150">
        <f>H150&lt;=5</f>
        <v>1</v>
      </c>
      <c r="N150">
        <f>H150&gt;5</f>
        <v>0</v>
      </c>
      <c r="O150">
        <f>I150&lt;=7</f>
        <v>1</v>
      </c>
      <c r="P150">
        <f>I150&gt;7</f>
        <v>0</v>
      </c>
      <c r="Q150">
        <f>J150&lt;=10</f>
        <v>0</v>
      </c>
      <c r="R150">
        <f>J150&gt;10</f>
        <v>1</v>
      </c>
    </row>
    <row r="151" spans="2:18" x14ac:dyDescent="0.25">
      <c r="B151" s="7" t="s">
        <v>44</v>
      </c>
      <c r="C151" t="s">
        <v>589</v>
      </c>
      <c r="D151" t="s">
        <v>590</v>
      </c>
      <c r="E151" t="s">
        <v>591</v>
      </c>
      <c r="F151" t="s">
        <v>592</v>
      </c>
      <c r="G151" s="8">
        <v>350</v>
      </c>
      <c r="H151" s="9">
        <v>10</v>
      </c>
      <c r="I151" s="9">
        <v>30</v>
      </c>
      <c r="J151" s="9">
        <v>35</v>
      </c>
      <c r="K151">
        <f>G151&lt;=164</f>
        <v>0</v>
      </c>
      <c r="L151">
        <f>G151&gt;164</f>
        <v>1</v>
      </c>
      <c r="M151">
        <f>H151&lt;=5</f>
        <v>0</v>
      </c>
      <c r="N151">
        <f>H151&gt;5</f>
        <v>1</v>
      </c>
      <c r="O151">
        <f>I151&lt;=7</f>
        <v>0</v>
      </c>
      <c r="P151">
        <f>I151&gt;7</f>
        <v>1</v>
      </c>
      <c r="Q151">
        <f>J151&lt;=10</f>
        <v>0</v>
      </c>
      <c r="R151">
        <f>J151&gt;10</f>
        <v>1</v>
      </c>
    </row>
    <row r="152" spans="2:18" x14ac:dyDescent="0.25">
      <c r="B152" s="7" t="s">
        <v>44</v>
      </c>
      <c r="C152" t="s">
        <v>593</v>
      </c>
      <c r="D152" t="s">
        <v>594</v>
      </c>
      <c r="E152" t="s">
        <v>595</v>
      </c>
      <c r="F152" t="s">
        <v>596</v>
      </c>
      <c r="G152" s="8">
        <v>387</v>
      </c>
      <c r="H152" s="9">
        <v>2.8</v>
      </c>
      <c r="I152" s="9">
        <v>8</v>
      </c>
      <c r="J152" s="9">
        <v>82</v>
      </c>
      <c r="K152">
        <f>G152&lt;=164</f>
        <v>0</v>
      </c>
      <c r="L152">
        <f>G152&gt;164</f>
        <v>1</v>
      </c>
      <c r="M152">
        <f>H152&lt;=5</f>
        <v>1</v>
      </c>
      <c r="N152">
        <f>H152&gt;5</f>
        <v>0</v>
      </c>
      <c r="O152">
        <f>I152&lt;=7</f>
        <v>0</v>
      </c>
      <c r="P152">
        <f>I152&gt;7</f>
        <v>1</v>
      </c>
      <c r="Q152">
        <f>J152&lt;=10</f>
        <v>0</v>
      </c>
      <c r="R152">
        <f>J152&gt;10</f>
        <v>1</v>
      </c>
    </row>
    <row r="153" spans="2:18" x14ac:dyDescent="0.25">
      <c r="B153" s="7" t="s">
        <v>44</v>
      </c>
      <c r="C153" t="s">
        <v>597</v>
      </c>
      <c r="D153" t="s">
        <v>598</v>
      </c>
      <c r="E153" t="s">
        <v>599</v>
      </c>
      <c r="F153" t="s">
        <v>600</v>
      </c>
      <c r="G153" s="8">
        <v>17</v>
      </c>
      <c r="H153" s="9">
        <v>0.3</v>
      </c>
      <c r="I153" s="9">
        <v>1.2</v>
      </c>
      <c r="J153" s="9">
        <v>3.1</v>
      </c>
      <c r="K153">
        <f>G153&lt;=164</f>
        <v>1</v>
      </c>
      <c r="L153">
        <f>G153&gt;164</f>
        <v>0</v>
      </c>
      <c r="M153">
        <f>H153&lt;=5</f>
        <v>1</v>
      </c>
      <c r="N153">
        <f>H153&gt;5</f>
        <v>0</v>
      </c>
      <c r="O153">
        <f>I153&lt;=7</f>
        <v>1</v>
      </c>
      <c r="P153">
        <f>I153&gt;7</f>
        <v>0</v>
      </c>
      <c r="Q153">
        <f>J153&lt;=10</f>
        <v>1</v>
      </c>
      <c r="R153">
        <f>J153&gt;10</f>
        <v>0</v>
      </c>
    </row>
    <row r="154" spans="2:18" x14ac:dyDescent="0.25">
      <c r="B154" s="7" t="s">
        <v>44</v>
      </c>
      <c r="C154" t="s">
        <v>601</v>
      </c>
      <c r="D154" t="s">
        <v>602</v>
      </c>
      <c r="E154" t="s">
        <v>603</v>
      </c>
      <c r="F154" t="s">
        <v>604</v>
      </c>
      <c r="G154" s="8">
        <v>1</v>
      </c>
      <c r="H154" s="9">
        <v>0</v>
      </c>
      <c r="I154" s="9">
        <v>0</v>
      </c>
      <c r="J154" s="9">
        <v>0.2</v>
      </c>
      <c r="K154">
        <f>G154&lt;=164</f>
        <v>1</v>
      </c>
      <c r="L154">
        <f>G154&gt;164</f>
        <v>0</v>
      </c>
      <c r="M154">
        <f>H154&lt;=5</f>
        <v>1</v>
      </c>
      <c r="N154">
        <f>H154&gt;5</f>
        <v>0</v>
      </c>
      <c r="O154">
        <f>I154&lt;=7</f>
        <v>1</v>
      </c>
      <c r="P154">
        <f>I154&gt;7</f>
        <v>0</v>
      </c>
      <c r="Q154">
        <f>J154&lt;=10</f>
        <v>1</v>
      </c>
      <c r="R154">
        <f>J154&gt;10</f>
        <v>0</v>
      </c>
    </row>
    <row r="155" spans="2:18" x14ac:dyDescent="0.25">
      <c r="B155" s="7" t="s">
        <v>44</v>
      </c>
      <c r="C155" t="s">
        <v>605</v>
      </c>
      <c r="D155" t="s">
        <v>606</v>
      </c>
      <c r="E155" t="s">
        <v>607</v>
      </c>
      <c r="F155" t="s">
        <v>608</v>
      </c>
      <c r="G155" s="8">
        <v>2</v>
      </c>
      <c r="H155" s="9">
        <v>0</v>
      </c>
      <c r="I155" s="9">
        <v>0.3</v>
      </c>
      <c r="J155" s="9">
        <v>0</v>
      </c>
      <c r="K155">
        <f>G155&lt;=164</f>
        <v>1</v>
      </c>
      <c r="L155">
        <f>G155&gt;164</f>
        <v>0</v>
      </c>
      <c r="M155">
        <f>H155&lt;=5</f>
        <v>1</v>
      </c>
      <c r="N155">
        <f>H155&gt;5</f>
        <v>0</v>
      </c>
      <c r="O155">
        <f>I155&lt;=7</f>
        <v>1</v>
      </c>
      <c r="P155">
        <f>I155&gt;7</f>
        <v>0</v>
      </c>
      <c r="Q155">
        <f>J155&lt;=10</f>
        <v>1</v>
      </c>
      <c r="R155">
        <f>J155&gt;10</f>
        <v>0</v>
      </c>
    </row>
    <row r="156" spans="2:18" x14ac:dyDescent="0.25">
      <c r="B156" s="7" t="s">
        <v>44</v>
      </c>
      <c r="C156" t="s">
        <v>609</v>
      </c>
      <c r="D156" t="s">
        <v>610</v>
      </c>
      <c r="E156" t="s">
        <v>611</v>
      </c>
      <c r="F156" t="s">
        <v>612</v>
      </c>
      <c r="G156" s="8">
        <v>40</v>
      </c>
      <c r="H156" s="9">
        <v>0.3</v>
      </c>
      <c r="I156" s="9">
        <v>0.8</v>
      </c>
      <c r="J156" s="9">
        <v>10</v>
      </c>
      <c r="K156">
        <f>G156&lt;=164</f>
        <v>1</v>
      </c>
      <c r="L156">
        <f>G156&gt;164</f>
        <v>0</v>
      </c>
      <c r="M156">
        <f>H156&lt;=5</f>
        <v>1</v>
      </c>
      <c r="N156">
        <f>H156&gt;5</f>
        <v>0</v>
      </c>
      <c r="O156">
        <f>I156&lt;=7</f>
        <v>1</v>
      </c>
      <c r="P156">
        <f>I156&gt;7</f>
        <v>0</v>
      </c>
      <c r="Q156">
        <f>J156&lt;=10</f>
        <v>1</v>
      </c>
      <c r="R156">
        <f>J156&gt;10</f>
        <v>0</v>
      </c>
    </row>
    <row r="157" spans="2:18" x14ac:dyDescent="0.25">
      <c r="B157" s="7" t="s">
        <v>44</v>
      </c>
      <c r="C157" t="s">
        <v>613</v>
      </c>
      <c r="D157" t="s">
        <v>614</v>
      </c>
      <c r="E157" t="s">
        <v>615</v>
      </c>
      <c r="F157" t="s">
        <v>616</v>
      </c>
      <c r="G157">
        <v>192</v>
      </c>
      <c r="H157">
        <v>11</v>
      </c>
      <c r="I157">
        <v>20</v>
      </c>
      <c r="J157">
        <v>8</v>
      </c>
      <c r="K157">
        <f>G157&lt;=164</f>
        <v>0</v>
      </c>
      <c r="L157">
        <f>G157&gt;164</f>
        <v>1</v>
      </c>
      <c r="M157">
        <f>H157&lt;=5</f>
        <v>0</v>
      </c>
      <c r="N157">
        <f>H157&gt;5</f>
        <v>1</v>
      </c>
      <c r="O157">
        <f>I157&lt;=7</f>
        <v>0</v>
      </c>
      <c r="P157">
        <f>I157&gt;7</f>
        <v>1</v>
      </c>
      <c r="Q157">
        <f>J157&lt;=10</f>
        <v>1</v>
      </c>
      <c r="R157">
        <f>J157&gt;10</f>
        <v>0</v>
      </c>
    </row>
    <row r="158" spans="2:18" x14ac:dyDescent="0.25">
      <c r="B158" s="7" t="s">
        <v>44</v>
      </c>
      <c r="C158" t="s">
        <v>617</v>
      </c>
      <c r="D158" t="s">
        <v>618</v>
      </c>
      <c r="E158" t="s">
        <v>619</v>
      </c>
      <c r="F158" t="s">
        <v>620</v>
      </c>
      <c r="G158">
        <v>370</v>
      </c>
      <c r="H158">
        <v>2</v>
      </c>
      <c r="I158">
        <v>75</v>
      </c>
      <c r="J158">
        <v>14</v>
      </c>
      <c r="K158">
        <f>G158&lt;=164</f>
        <v>0</v>
      </c>
      <c r="L158">
        <f>G158&gt;164</f>
        <v>1</v>
      </c>
      <c r="M158">
        <f>H158&lt;=5</f>
        <v>1</v>
      </c>
      <c r="N158">
        <f>H158&gt;5</f>
        <v>0</v>
      </c>
      <c r="O158">
        <f>I158&lt;=7</f>
        <v>0</v>
      </c>
      <c r="P158">
        <f>I158&gt;7</f>
        <v>1</v>
      </c>
      <c r="Q158">
        <f>J158&lt;=10</f>
        <v>0</v>
      </c>
      <c r="R158">
        <f>J158&gt;10</f>
        <v>1</v>
      </c>
    </row>
    <row r="159" spans="2:18" x14ac:dyDescent="0.25">
      <c r="B159" s="7" t="s">
        <v>44</v>
      </c>
      <c r="C159" t="s">
        <v>621</v>
      </c>
      <c r="D159" t="s">
        <v>622</v>
      </c>
      <c r="E159" t="s">
        <v>623</v>
      </c>
      <c r="F159" t="s">
        <v>624</v>
      </c>
      <c r="G159">
        <v>208</v>
      </c>
      <c r="H159">
        <v>11</v>
      </c>
      <c r="I159">
        <v>25</v>
      </c>
      <c r="J159">
        <v>0</v>
      </c>
      <c r="K159">
        <f>G159&lt;=164</f>
        <v>0</v>
      </c>
      <c r="L159">
        <f>G159&gt;164</f>
        <v>1</v>
      </c>
      <c r="M159">
        <f>H159&lt;=5</f>
        <v>0</v>
      </c>
      <c r="N159">
        <f>H159&gt;5</f>
        <v>1</v>
      </c>
      <c r="O159">
        <f>I159&lt;=7</f>
        <v>0</v>
      </c>
      <c r="P159">
        <f>I159&gt;7</f>
        <v>1</v>
      </c>
      <c r="Q159">
        <f>J159&lt;=10</f>
        <v>1</v>
      </c>
      <c r="R159">
        <f>J159&gt;10</f>
        <v>0</v>
      </c>
    </row>
    <row r="160" spans="2:18" x14ac:dyDescent="0.25">
      <c r="B160" s="7" t="s">
        <v>44</v>
      </c>
      <c r="C160" t="s">
        <v>625</v>
      </c>
      <c r="D160" t="s">
        <v>626</v>
      </c>
      <c r="E160" t="s">
        <v>627</v>
      </c>
      <c r="F160" t="s">
        <v>628</v>
      </c>
      <c r="G160">
        <v>205</v>
      </c>
      <c r="H160">
        <v>12</v>
      </c>
      <c r="I160">
        <v>24</v>
      </c>
      <c r="J160">
        <v>0</v>
      </c>
      <c r="K160">
        <f>G160&lt;=164</f>
        <v>0</v>
      </c>
      <c r="L160">
        <f>G160&gt;164</f>
        <v>1</v>
      </c>
      <c r="M160">
        <f>H160&lt;=5</f>
        <v>0</v>
      </c>
      <c r="N160">
        <f>H160&gt;5</f>
        <v>1</v>
      </c>
      <c r="O160">
        <f>I160&lt;=7</f>
        <v>0</v>
      </c>
      <c r="P160">
        <f>I160&gt;7</f>
        <v>1</v>
      </c>
      <c r="Q160">
        <f>J160&lt;=10</f>
        <v>1</v>
      </c>
      <c r="R160">
        <f>J160&gt;10</f>
        <v>0</v>
      </c>
    </row>
    <row r="161" spans="2:18" x14ac:dyDescent="0.25">
      <c r="B161" s="7" t="s">
        <v>44</v>
      </c>
      <c r="C161" t="s">
        <v>629</v>
      </c>
      <c r="D161" t="s">
        <v>630</v>
      </c>
      <c r="E161" t="s">
        <v>631</v>
      </c>
      <c r="F161" t="s">
        <v>632</v>
      </c>
      <c r="G161">
        <v>217</v>
      </c>
      <c r="H161">
        <v>14</v>
      </c>
      <c r="I161">
        <v>22</v>
      </c>
      <c r="J161">
        <v>0</v>
      </c>
      <c r="K161">
        <f>G161&lt;=164</f>
        <v>0</v>
      </c>
      <c r="L161">
        <f>G161&gt;164</f>
        <v>1</v>
      </c>
      <c r="M161">
        <f>H161&lt;=5</f>
        <v>0</v>
      </c>
      <c r="N161">
        <f>H161&gt;5</f>
        <v>1</v>
      </c>
      <c r="O161">
        <f>I161&lt;=7</f>
        <v>0</v>
      </c>
      <c r="P161">
        <f>I161&gt;7</f>
        <v>1</v>
      </c>
      <c r="Q161">
        <f>J161&lt;=10</f>
        <v>1</v>
      </c>
      <c r="R161">
        <f>J161&gt;10</f>
        <v>0</v>
      </c>
    </row>
    <row r="162" spans="2:18" x14ac:dyDescent="0.25">
      <c r="B162" s="7" t="s">
        <v>44</v>
      </c>
      <c r="C162" t="s">
        <v>633</v>
      </c>
      <c r="D162" t="s">
        <v>634</v>
      </c>
      <c r="E162" t="s">
        <v>635</v>
      </c>
      <c r="F162" t="s">
        <v>636</v>
      </c>
      <c r="G162">
        <v>201</v>
      </c>
      <c r="H162">
        <v>11</v>
      </c>
      <c r="I162">
        <v>24</v>
      </c>
      <c r="J162">
        <v>0</v>
      </c>
      <c r="K162">
        <f>G162&lt;=164</f>
        <v>0</v>
      </c>
      <c r="L162">
        <f>G162&gt;164</f>
        <v>1</v>
      </c>
      <c r="M162">
        <f>H162&lt;=5</f>
        <v>0</v>
      </c>
      <c r="N162">
        <f>H162&gt;5</f>
        <v>1</v>
      </c>
      <c r="O162">
        <f>I162&lt;=7</f>
        <v>0</v>
      </c>
      <c r="P162">
        <f>I162&gt;7</f>
        <v>1</v>
      </c>
      <c r="Q162">
        <f>J162&lt;=10</f>
        <v>1</v>
      </c>
      <c r="R162">
        <f>J162&gt;10</f>
        <v>0</v>
      </c>
    </row>
    <row r="163" spans="2:18" x14ac:dyDescent="0.25">
      <c r="B163" s="7" t="s">
        <v>44</v>
      </c>
      <c r="C163" t="s">
        <v>637</v>
      </c>
      <c r="D163" t="s">
        <v>638</v>
      </c>
      <c r="E163" t="s">
        <v>639</v>
      </c>
      <c r="F163" t="s">
        <v>640</v>
      </c>
      <c r="G163">
        <v>143</v>
      </c>
      <c r="H163">
        <v>3</v>
      </c>
      <c r="I163">
        <v>28</v>
      </c>
      <c r="J163">
        <v>0</v>
      </c>
      <c r="K163">
        <f>G163&lt;=164</f>
        <v>1</v>
      </c>
      <c r="L163">
        <f>G163&gt;164</f>
        <v>0</v>
      </c>
      <c r="M163">
        <f>H163&lt;=5</f>
        <v>1</v>
      </c>
      <c r="N163">
        <f>H163&gt;5</f>
        <v>0</v>
      </c>
      <c r="O163">
        <f>I163&lt;=7</f>
        <v>0</v>
      </c>
      <c r="P163">
        <f>I163&gt;7</f>
        <v>1</v>
      </c>
      <c r="Q163">
        <f>J163&lt;=10</f>
        <v>1</v>
      </c>
      <c r="R163">
        <f>J163&gt;10</f>
        <v>0</v>
      </c>
    </row>
    <row r="164" spans="2:18" x14ac:dyDescent="0.25">
      <c r="B164" s="7" t="s">
        <v>44</v>
      </c>
      <c r="C164" t="s">
        <v>641</v>
      </c>
      <c r="D164" t="s">
        <v>642</v>
      </c>
      <c r="E164" t="s">
        <v>643</v>
      </c>
      <c r="F164" t="s">
        <v>644</v>
      </c>
      <c r="G164">
        <v>158</v>
      </c>
      <c r="H164">
        <v>3</v>
      </c>
      <c r="I164">
        <v>30</v>
      </c>
      <c r="J164">
        <v>0</v>
      </c>
      <c r="K164">
        <f>G164&lt;=164</f>
        <v>1</v>
      </c>
      <c r="L164">
        <f>G164&gt;164</f>
        <v>0</v>
      </c>
      <c r="M164">
        <f>H164&lt;=5</f>
        <v>1</v>
      </c>
      <c r="N164">
        <f>H164&gt;5</f>
        <v>0</v>
      </c>
      <c r="O164">
        <f>I164&lt;=7</f>
        <v>0</v>
      </c>
      <c r="P164">
        <f>I164&gt;7</f>
        <v>1</v>
      </c>
      <c r="Q164">
        <f>J164&lt;=10</f>
        <v>1</v>
      </c>
      <c r="R164">
        <f>J164&gt;10</f>
        <v>0</v>
      </c>
    </row>
    <row r="165" spans="2:18" x14ac:dyDescent="0.25">
      <c r="B165" s="7" t="s">
        <v>44</v>
      </c>
      <c r="C165" t="s">
        <v>645</v>
      </c>
      <c r="D165" t="s">
        <v>646</v>
      </c>
      <c r="E165" t="s">
        <v>647</v>
      </c>
      <c r="F165" t="s">
        <v>648</v>
      </c>
      <c r="G165">
        <v>312</v>
      </c>
      <c r="H165">
        <v>8</v>
      </c>
      <c r="I165">
        <v>8</v>
      </c>
      <c r="J165">
        <v>50</v>
      </c>
      <c r="K165">
        <f>G165&lt;=164</f>
        <v>0</v>
      </c>
      <c r="L165">
        <f>G165&gt;164</f>
        <v>1</v>
      </c>
      <c r="M165">
        <f>H165&lt;=5</f>
        <v>0</v>
      </c>
      <c r="N165">
        <f>H165&gt;5</f>
        <v>1</v>
      </c>
      <c r="O165">
        <f>I165&lt;=7</f>
        <v>0</v>
      </c>
      <c r="P165">
        <f>I165&gt;7</f>
        <v>1</v>
      </c>
      <c r="Q165">
        <f>J165&lt;=10</f>
        <v>0</v>
      </c>
      <c r="R165">
        <f>J165&gt;10</f>
        <v>1</v>
      </c>
    </row>
    <row r="166" spans="2:18" x14ac:dyDescent="0.25">
      <c r="B166" s="7" t="s">
        <v>44</v>
      </c>
      <c r="C166" t="s">
        <v>649</v>
      </c>
      <c r="D166" t="s">
        <v>650</v>
      </c>
      <c r="E166" t="s">
        <v>651</v>
      </c>
      <c r="F166" t="s">
        <v>652</v>
      </c>
      <c r="G166">
        <v>270</v>
      </c>
      <c r="H166">
        <v>1.5</v>
      </c>
      <c r="I166">
        <v>10</v>
      </c>
      <c r="J166">
        <v>53</v>
      </c>
      <c r="K166">
        <f>G166&lt;=164</f>
        <v>0</v>
      </c>
      <c r="L166">
        <f>G166&gt;164</f>
        <v>1</v>
      </c>
      <c r="M166">
        <f>H166&lt;=5</f>
        <v>1</v>
      </c>
      <c r="N166">
        <f>H166&gt;5</f>
        <v>0</v>
      </c>
      <c r="O166">
        <f>I166&lt;=7</f>
        <v>0</v>
      </c>
      <c r="P166">
        <f>I166&gt;7</f>
        <v>1</v>
      </c>
      <c r="Q166">
        <f>J166&lt;=10</f>
        <v>0</v>
      </c>
      <c r="R166">
        <f>J166&gt;10</f>
        <v>1</v>
      </c>
    </row>
    <row r="167" spans="2:18" x14ac:dyDescent="0.25">
      <c r="B167" s="7" t="s">
        <v>44</v>
      </c>
      <c r="C167" t="s">
        <v>653</v>
      </c>
      <c r="D167" t="s">
        <v>654</v>
      </c>
      <c r="E167" t="s">
        <v>655</v>
      </c>
      <c r="F167" t="s">
        <v>656</v>
      </c>
      <c r="G167">
        <v>340</v>
      </c>
      <c r="H167">
        <v>6</v>
      </c>
      <c r="I167">
        <v>10</v>
      </c>
      <c r="J167">
        <v>60</v>
      </c>
      <c r="K167">
        <f>G167&lt;=164</f>
        <v>0</v>
      </c>
      <c r="L167">
        <f>G167&gt;164</f>
        <v>1</v>
      </c>
      <c r="M167">
        <f>H167&lt;=5</f>
        <v>0</v>
      </c>
      <c r="N167">
        <f>H167&gt;5</f>
        <v>1</v>
      </c>
      <c r="O167">
        <f>I167&lt;=7</f>
        <v>0</v>
      </c>
      <c r="P167">
        <f>I167&gt;7</f>
        <v>1</v>
      </c>
      <c r="Q167">
        <f>J167&lt;=10</f>
        <v>0</v>
      </c>
      <c r="R167">
        <f>J167&gt;10</f>
        <v>1</v>
      </c>
    </row>
    <row r="168" spans="2:18" x14ac:dyDescent="0.25">
      <c r="B168" s="7" t="s">
        <v>44</v>
      </c>
      <c r="C168" t="s">
        <v>657</v>
      </c>
      <c r="D168" t="s">
        <v>658</v>
      </c>
      <c r="E168" t="s">
        <v>659</v>
      </c>
      <c r="F168" t="s">
        <v>660</v>
      </c>
      <c r="G168">
        <v>431</v>
      </c>
      <c r="H168">
        <v>29</v>
      </c>
      <c r="I168">
        <v>38</v>
      </c>
      <c r="J168">
        <v>4</v>
      </c>
      <c r="K168">
        <f>G168&lt;=164</f>
        <v>0</v>
      </c>
      <c r="L168">
        <f>G168&gt;164</f>
        <v>1</v>
      </c>
      <c r="M168">
        <f>H168&lt;=5</f>
        <v>0</v>
      </c>
      <c r="N168">
        <f>H168&gt;5</f>
        <v>1</v>
      </c>
      <c r="O168">
        <f>I168&lt;=7</f>
        <v>0</v>
      </c>
      <c r="P168">
        <f>I168&gt;7</f>
        <v>1</v>
      </c>
      <c r="Q168">
        <f>J168&lt;=10</f>
        <v>1</v>
      </c>
      <c r="R168">
        <f>J168&gt;10</f>
        <v>0</v>
      </c>
    </row>
    <row r="169" spans="2:18" x14ac:dyDescent="0.25">
      <c r="B169" s="7" t="s">
        <v>44</v>
      </c>
      <c r="C169" t="s">
        <v>661</v>
      </c>
      <c r="D169" t="s">
        <v>662</v>
      </c>
      <c r="E169" t="s">
        <v>663</v>
      </c>
      <c r="F169" t="s">
        <v>664</v>
      </c>
      <c r="G169">
        <v>264</v>
      </c>
      <c r="H169">
        <v>21</v>
      </c>
      <c r="I169">
        <v>14</v>
      </c>
      <c r="J169">
        <v>4</v>
      </c>
      <c r="K169">
        <f>G169&lt;=164</f>
        <v>0</v>
      </c>
      <c r="L169">
        <f>G169&gt;164</f>
        <v>1</v>
      </c>
      <c r="M169">
        <f>H169&lt;=5</f>
        <v>0</v>
      </c>
      <c r="N169">
        <f>H169&gt;5</f>
        <v>1</v>
      </c>
      <c r="O169">
        <f>I169&lt;=7</f>
        <v>0</v>
      </c>
      <c r="P169">
        <f>I169&gt;7</f>
        <v>1</v>
      </c>
      <c r="Q169">
        <f>J169&lt;=10</f>
        <v>1</v>
      </c>
      <c r="R169">
        <f>J169&gt;10</f>
        <v>0</v>
      </c>
    </row>
    <row r="170" spans="2:18" x14ac:dyDescent="0.25">
      <c r="B170" s="7" t="s">
        <v>44</v>
      </c>
      <c r="C170" t="s">
        <v>665</v>
      </c>
      <c r="D170" t="s">
        <v>666</v>
      </c>
      <c r="E170" t="s">
        <v>667</v>
      </c>
      <c r="F170" t="s">
        <v>668</v>
      </c>
      <c r="G170">
        <v>174</v>
      </c>
      <c r="H170">
        <v>13</v>
      </c>
      <c r="I170">
        <v>11</v>
      </c>
      <c r="J170">
        <v>3</v>
      </c>
      <c r="K170">
        <f>G170&lt;=164</f>
        <v>0</v>
      </c>
      <c r="L170">
        <f>G170&gt;164</f>
        <v>1</v>
      </c>
      <c r="M170">
        <f>H170&lt;=5</f>
        <v>0</v>
      </c>
      <c r="N170">
        <f>H170&gt;5</f>
        <v>1</v>
      </c>
      <c r="O170">
        <f>I170&lt;=7</f>
        <v>0</v>
      </c>
      <c r="P170">
        <f>I170&gt;7</f>
        <v>1</v>
      </c>
      <c r="Q170">
        <f>J170&lt;=10</f>
        <v>1</v>
      </c>
      <c r="R170">
        <f>J170&gt;10</f>
        <v>0</v>
      </c>
    </row>
    <row r="171" spans="2:18" x14ac:dyDescent="0.25">
      <c r="B171" s="7" t="s">
        <v>44</v>
      </c>
      <c r="C171" t="s">
        <v>669</v>
      </c>
      <c r="D171" t="s">
        <v>670</v>
      </c>
      <c r="E171" t="s">
        <v>671</v>
      </c>
      <c r="F171" t="s">
        <v>672</v>
      </c>
      <c r="G171">
        <v>579</v>
      </c>
      <c r="H171">
        <v>50</v>
      </c>
      <c r="I171">
        <v>21</v>
      </c>
      <c r="J171">
        <v>22</v>
      </c>
      <c r="K171">
        <f>G171&lt;=164</f>
        <v>0</v>
      </c>
      <c r="L171">
        <f>G171&gt;164</f>
        <v>1</v>
      </c>
      <c r="M171">
        <f>H171&lt;=5</f>
        <v>0</v>
      </c>
      <c r="N171">
        <f>H171&gt;5</f>
        <v>1</v>
      </c>
      <c r="O171">
        <f>I171&lt;=7</f>
        <v>0</v>
      </c>
      <c r="P171">
        <f>I171&gt;7</f>
        <v>1</v>
      </c>
      <c r="Q171">
        <f>J171&lt;=10</f>
        <v>0</v>
      </c>
      <c r="R171">
        <f>J171&gt;10</f>
        <v>1</v>
      </c>
    </row>
    <row r="172" spans="2:18" x14ac:dyDescent="0.25">
      <c r="B172" s="7" t="s">
        <v>44</v>
      </c>
      <c r="C172" t="s">
        <v>673</v>
      </c>
      <c r="D172" t="s">
        <v>674</v>
      </c>
      <c r="E172" t="s">
        <v>675</v>
      </c>
      <c r="F172" t="s">
        <v>676</v>
      </c>
      <c r="G172">
        <v>560</v>
      </c>
      <c r="H172">
        <v>45</v>
      </c>
      <c r="I172">
        <v>20</v>
      </c>
      <c r="J172">
        <v>28</v>
      </c>
      <c r="K172">
        <f>G172&lt;=164</f>
        <v>0</v>
      </c>
      <c r="L172">
        <f>G172&gt;164</f>
        <v>1</v>
      </c>
      <c r="M172">
        <f>H172&lt;=5</f>
        <v>0</v>
      </c>
      <c r="N172">
        <f>H172&gt;5</f>
        <v>1</v>
      </c>
      <c r="O172">
        <f>I172&lt;=7</f>
        <v>0</v>
      </c>
      <c r="P172">
        <f>I172&gt;7</f>
        <v>1</v>
      </c>
      <c r="Q172">
        <f>J172&lt;=10</f>
        <v>0</v>
      </c>
      <c r="R172">
        <f>J172&gt;10</f>
        <v>1</v>
      </c>
    </row>
    <row r="173" spans="2:18" x14ac:dyDescent="0.25">
      <c r="B173" s="7" t="s">
        <v>44</v>
      </c>
      <c r="C173" t="s">
        <v>677</v>
      </c>
      <c r="D173" t="s">
        <v>678</v>
      </c>
      <c r="E173" t="s">
        <v>679</v>
      </c>
      <c r="F173" t="s">
        <v>680</v>
      </c>
      <c r="G173">
        <v>691</v>
      </c>
      <c r="H173">
        <v>72</v>
      </c>
      <c r="I173">
        <v>9</v>
      </c>
      <c r="J173">
        <v>14</v>
      </c>
      <c r="K173">
        <f>G173&lt;=164</f>
        <v>0</v>
      </c>
      <c r="L173">
        <f>G173&gt;164</f>
        <v>1</v>
      </c>
      <c r="M173">
        <f>H173&lt;=5</f>
        <v>0</v>
      </c>
      <c r="N173">
        <f>H173&gt;5</f>
        <v>1</v>
      </c>
      <c r="O173">
        <f>I173&lt;=7</f>
        <v>0</v>
      </c>
      <c r="P173">
        <f>I173&gt;7</f>
        <v>1</v>
      </c>
      <c r="Q173">
        <f>J173&lt;=10</f>
        <v>0</v>
      </c>
      <c r="R173">
        <f>J173&gt;10</f>
        <v>1</v>
      </c>
    </row>
    <row r="174" spans="2:18" x14ac:dyDescent="0.25">
      <c r="B174" s="7" t="s">
        <v>44</v>
      </c>
      <c r="C174" t="s">
        <v>681</v>
      </c>
      <c r="D174" t="s">
        <v>682</v>
      </c>
      <c r="E174" t="s">
        <v>683</v>
      </c>
      <c r="F174" t="s">
        <v>684</v>
      </c>
      <c r="G174">
        <v>718</v>
      </c>
      <c r="H174">
        <v>76</v>
      </c>
      <c r="I174">
        <v>8</v>
      </c>
      <c r="J174">
        <v>14</v>
      </c>
      <c r="K174">
        <f>G174&lt;=164</f>
        <v>0</v>
      </c>
      <c r="L174">
        <f>G174&gt;164</f>
        <v>1</v>
      </c>
      <c r="M174">
        <f>H174&lt;=5</f>
        <v>0</v>
      </c>
      <c r="N174">
        <f>H174&gt;5</f>
        <v>1</v>
      </c>
      <c r="O174">
        <f>I174&lt;=7</f>
        <v>0</v>
      </c>
      <c r="P174">
        <f>I174&gt;7</f>
        <v>1</v>
      </c>
      <c r="Q174">
        <f>J174&lt;=10</f>
        <v>0</v>
      </c>
      <c r="R174">
        <f>J174&gt;10</f>
        <v>1</v>
      </c>
    </row>
    <row r="175" spans="2:18" x14ac:dyDescent="0.25">
      <c r="B175" s="7" t="s">
        <v>44</v>
      </c>
      <c r="C175" t="s">
        <v>685</v>
      </c>
      <c r="D175" t="s">
        <v>686</v>
      </c>
      <c r="E175" t="s">
        <v>687</v>
      </c>
      <c r="F175" t="s">
        <v>688</v>
      </c>
      <c r="G175">
        <v>628</v>
      </c>
      <c r="H175">
        <v>61</v>
      </c>
      <c r="I175">
        <v>15</v>
      </c>
      <c r="J175">
        <v>17</v>
      </c>
      <c r="K175">
        <f>G175&lt;=164</f>
        <v>0</v>
      </c>
      <c r="L175">
        <f>G175&gt;164</f>
        <v>1</v>
      </c>
      <c r="M175">
        <f>H175&lt;=5</f>
        <v>0</v>
      </c>
      <c r="N175">
        <f>H175&gt;5</f>
        <v>1</v>
      </c>
      <c r="O175">
        <f>I175&lt;=7</f>
        <v>0</v>
      </c>
      <c r="P175">
        <f>I175&gt;7</f>
        <v>1</v>
      </c>
      <c r="Q175">
        <f>J175&lt;=10</f>
        <v>0</v>
      </c>
      <c r="R175">
        <f>J175&gt;10</f>
        <v>1</v>
      </c>
    </row>
    <row r="176" spans="2:18" x14ac:dyDescent="0.25">
      <c r="B176" s="7" t="s">
        <v>44</v>
      </c>
      <c r="C176" t="s">
        <v>689</v>
      </c>
      <c r="D176" t="s">
        <v>690</v>
      </c>
      <c r="E176" t="s">
        <v>691</v>
      </c>
      <c r="F176" t="s">
        <v>692</v>
      </c>
      <c r="G176">
        <v>486</v>
      </c>
      <c r="H176">
        <v>31</v>
      </c>
      <c r="I176">
        <v>17</v>
      </c>
      <c r="J176">
        <v>42</v>
      </c>
      <c r="K176">
        <f>G176&lt;=164</f>
        <v>0</v>
      </c>
      <c r="L176">
        <f>G176&gt;164</f>
        <v>1</v>
      </c>
      <c r="M176">
        <f>H176&lt;=5</f>
        <v>0</v>
      </c>
      <c r="N176">
        <f>H176&gt;5</f>
        <v>1</v>
      </c>
      <c r="O176">
        <f>I176&lt;=7</f>
        <v>0</v>
      </c>
      <c r="P176">
        <f>I176&gt;7</f>
        <v>1</v>
      </c>
      <c r="Q176">
        <f>J176&lt;=10</f>
        <v>0</v>
      </c>
      <c r="R176">
        <f>J176&gt;10</f>
        <v>1</v>
      </c>
    </row>
    <row r="177" spans="2:18" x14ac:dyDescent="0.25">
      <c r="B177" s="7" t="s">
        <v>44</v>
      </c>
      <c r="C177" t="s">
        <v>693</v>
      </c>
      <c r="D177" t="s">
        <v>694</v>
      </c>
      <c r="E177" t="s">
        <v>695</v>
      </c>
      <c r="F177" t="s">
        <v>696</v>
      </c>
      <c r="G177">
        <v>534</v>
      </c>
      <c r="H177">
        <v>42</v>
      </c>
      <c r="I177">
        <v>18</v>
      </c>
      <c r="J177">
        <v>29</v>
      </c>
      <c r="K177">
        <f>G177&lt;=164</f>
        <v>0</v>
      </c>
      <c r="L177">
        <f>G177&gt;164</f>
        <v>1</v>
      </c>
      <c r="M177">
        <f>H177&lt;=5</f>
        <v>0</v>
      </c>
      <c r="N177">
        <f>H177&gt;5</f>
        <v>1</v>
      </c>
      <c r="O177">
        <f>I177&lt;=7</f>
        <v>0</v>
      </c>
      <c r="P177">
        <f>I177&gt;7</f>
        <v>1</v>
      </c>
      <c r="Q177">
        <f>J177&lt;=10</f>
        <v>0</v>
      </c>
      <c r="R177">
        <f>J177&gt;10</f>
        <v>1</v>
      </c>
    </row>
    <row r="178" spans="2:18" x14ac:dyDescent="0.25">
      <c r="B178" s="7" t="s">
        <v>44</v>
      </c>
      <c r="C178" t="s">
        <v>697</v>
      </c>
      <c r="D178" t="s">
        <v>698</v>
      </c>
      <c r="E178" t="s">
        <v>699</v>
      </c>
      <c r="F178" t="s">
        <v>700</v>
      </c>
      <c r="G178">
        <v>584</v>
      </c>
      <c r="H178">
        <v>51</v>
      </c>
      <c r="I178">
        <v>21</v>
      </c>
      <c r="J178">
        <v>20</v>
      </c>
      <c r="K178">
        <f>G178&lt;=164</f>
        <v>0</v>
      </c>
      <c r="L178">
        <f>G178&gt;164</f>
        <v>1</v>
      </c>
      <c r="M178">
        <f>H178&lt;=5</f>
        <v>0</v>
      </c>
      <c r="N178">
        <f>H178&gt;5</f>
        <v>1</v>
      </c>
      <c r="O178">
        <f>I178&lt;=7</f>
        <v>0</v>
      </c>
      <c r="P178">
        <f>I178&gt;7</f>
        <v>1</v>
      </c>
      <c r="Q178">
        <f>J178&lt;=10</f>
        <v>0</v>
      </c>
      <c r="R178">
        <f>J178&gt;10</f>
        <v>1</v>
      </c>
    </row>
    <row r="179" spans="2:18" x14ac:dyDescent="0.25">
      <c r="B179" s="7" t="s">
        <v>44</v>
      </c>
      <c r="C179" t="s">
        <v>701</v>
      </c>
      <c r="D179" t="s">
        <v>702</v>
      </c>
      <c r="E179" t="s">
        <v>703</v>
      </c>
      <c r="F179" t="s">
        <v>704</v>
      </c>
      <c r="G179">
        <v>559</v>
      </c>
      <c r="H179">
        <v>49</v>
      </c>
      <c r="I179">
        <v>30</v>
      </c>
      <c r="J179">
        <v>11</v>
      </c>
      <c r="K179">
        <f>G179&lt;=164</f>
        <v>0</v>
      </c>
      <c r="L179">
        <f>G179&gt;164</f>
        <v>1</v>
      </c>
      <c r="M179">
        <f>H179&lt;=5</f>
        <v>0</v>
      </c>
      <c r="N179">
        <f>H179&gt;5</f>
        <v>1</v>
      </c>
      <c r="O179">
        <f>I179&lt;=7</f>
        <v>0</v>
      </c>
      <c r="P179">
        <f>I179&gt;7</f>
        <v>1</v>
      </c>
      <c r="Q179">
        <f>J179&lt;=10</f>
        <v>0</v>
      </c>
      <c r="R179">
        <f>J179&gt;10</f>
        <v>1</v>
      </c>
    </row>
    <row r="180" spans="2:18" x14ac:dyDescent="0.25">
      <c r="B180" s="7" t="s">
        <v>44</v>
      </c>
      <c r="C180" t="s">
        <v>705</v>
      </c>
      <c r="D180" t="s">
        <v>706</v>
      </c>
      <c r="E180" t="s">
        <v>707</v>
      </c>
      <c r="F180" t="s">
        <v>708</v>
      </c>
      <c r="G180">
        <v>553</v>
      </c>
      <c r="H180">
        <v>49</v>
      </c>
      <c r="I180">
        <v>32</v>
      </c>
      <c r="J180">
        <v>9</v>
      </c>
      <c r="K180">
        <f>G180&lt;=164</f>
        <v>0</v>
      </c>
      <c r="L180">
        <f>G180&gt;164</f>
        <v>1</v>
      </c>
      <c r="M180">
        <f>H180&lt;=5</f>
        <v>0</v>
      </c>
      <c r="N180">
        <f>H180&gt;5</f>
        <v>1</v>
      </c>
      <c r="O180">
        <f>I180&lt;=7</f>
        <v>0</v>
      </c>
      <c r="P180">
        <f>I180&gt;7</f>
        <v>1</v>
      </c>
      <c r="Q180">
        <f>J180&lt;=10</f>
        <v>1</v>
      </c>
      <c r="R180">
        <f>J180&gt;10</f>
        <v>0</v>
      </c>
    </row>
    <row r="181" spans="2:18" x14ac:dyDescent="0.25">
      <c r="B181" s="7" t="s">
        <v>44</v>
      </c>
      <c r="C181" t="s">
        <v>709</v>
      </c>
      <c r="D181" t="s">
        <v>710</v>
      </c>
      <c r="E181" t="s">
        <v>711</v>
      </c>
      <c r="F181" t="s">
        <v>712</v>
      </c>
      <c r="G181">
        <v>660</v>
      </c>
      <c r="H181">
        <v>65</v>
      </c>
      <c r="I181">
        <v>7</v>
      </c>
      <c r="J181">
        <v>24</v>
      </c>
      <c r="K181">
        <f>G181&lt;=164</f>
        <v>0</v>
      </c>
      <c r="L181">
        <f>G181&gt;164</f>
        <v>1</v>
      </c>
      <c r="M181">
        <f>H181&lt;=5</f>
        <v>0</v>
      </c>
      <c r="N181">
        <f>H181&gt;5</f>
        <v>1</v>
      </c>
      <c r="O181">
        <f>I181&lt;=7</f>
        <v>1</v>
      </c>
      <c r="P181">
        <f>I181&gt;7</f>
        <v>0</v>
      </c>
      <c r="Q181">
        <f>J181&lt;=10</f>
        <v>0</v>
      </c>
      <c r="R181">
        <f>J181&gt;10</f>
        <v>1</v>
      </c>
    </row>
    <row r="182" spans="2:18" x14ac:dyDescent="0.25">
      <c r="B182" s="7" t="s">
        <v>44</v>
      </c>
      <c r="C182" t="s">
        <v>713</v>
      </c>
      <c r="D182" t="s">
        <v>714</v>
      </c>
      <c r="E182" t="s">
        <v>715</v>
      </c>
      <c r="F182" t="s">
        <v>716</v>
      </c>
      <c r="G182">
        <v>299</v>
      </c>
      <c r="H182">
        <v>0.5</v>
      </c>
      <c r="I182">
        <v>3</v>
      </c>
      <c r="J182">
        <v>79</v>
      </c>
      <c r="K182">
        <f>G182&lt;=164</f>
        <v>0</v>
      </c>
      <c r="L182">
        <f>G182&gt;164</f>
        <v>1</v>
      </c>
      <c r="M182">
        <f>H182&lt;=5</f>
        <v>1</v>
      </c>
      <c r="N182">
        <f>H182&gt;5</f>
        <v>0</v>
      </c>
      <c r="O182">
        <f>I182&lt;=7</f>
        <v>1</v>
      </c>
      <c r="P182">
        <f>I182&gt;7</f>
        <v>0</v>
      </c>
      <c r="Q182">
        <f>J182&lt;=10</f>
        <v>0</v>
      </c>
      <c r="R182">
        <f>J182&gt;10</f>
        <v>1</v>
      </c>
    </row>
    <row r="183" spans="2:18" x14ac:dyDescent="0.25">
      <c r="B183" s="7" t="s">
        <v>44</v>
      </c>
      <c r="C183" t="s">
        <v>717</v>
      </c>
      <c r="D183" t="s">
        <v>718</v>
      </c>
      <c r="E183" t="s">
        <v>719</v>
      </c>
      <c r="F183" t="s">
        <v>720</v>
      </c>
      <c r="G183">
        <v>241</v>
      </c>
      <c r="H183">
        <v>0.5</v>
      </c>
      <c r="I183">
        <v>3</v>
      </c>
      <c r="J183">
        <v>63</v>
      </c>
      <c r="K183">
        <f>G183&lt;=164</f>
        <v>0</v>
      </c>
      <c r="L183">
        <f>G183&gt;164</f>
        <v>1</v>
      </c>
      <c r="M183">
        <f>H183&lt;=5</f>
        <v>1</v>
      </c>
      <c r="N183">
        <f>H183&gt;5</f>
        <v>0</v>
      </c>
      <c r="O183">
        <f>I183&lt;=7</f>
        <v>1</v>
      </c>
      <c r="P183">
        <f>I183&gt;7</f>
        <v>0</v>
      </c>
      <c r="Q183">
        <f>J183&lt;=10</f>
        <v>0</v>
      </c>
      <c r="R183">
        <f>J183&gt;10</f>
        <v>1</v>
      </c>
    </row>
    <row r="184" spans="2:18" x14ac:dyDescent="0.25">
      <c r="B184" s="7" t="s">
        <v>44</v>
      </c>
      <c r="C184" t="s">
        <v>721</v>
      </c>
      <c r="D184" t="s">
        <v>722</v>
      </c>
      <c r="E184" t="s">
        <v>723</v>
      </c>
      <c r="F184" t="s">
        <v>724</v>
      </c>
      <c r="G184">
        <v>325</v>
      </c>
      <c r="H184">
        <v>1</v>
      </c>
      <c r="I184">
        <v>0.1</v>
      </c>
      <c r="J184">
        <v>82</v>
      </c>
      <c r="K184">
        <f>G184&lt;=164</f>
        <v>0</v>
      </c>
      <c r="L184">
        <f>G184&gt;164</f>
        <v>1</v>
      </c>
      <c r="M184">
        <f>H184&lt;=5</f>
        <v>1</v>
      </c>
      <c r="N184">
        <f>H184&gt;5</f>
        <v>0</v>
      </c>
      <c r="O184">
        <f>I184&lt;=7</f>
        <v>1</v>
      </c>
      <c r="P184">
        <f>I184&gt;7</f>
        <v>0</v>
      </c>
      <c r="Q184">
        <f>J184&lt;=10</f>
        <v>0</v>
      </c>
      <c r="R184">
        <f>J184&gt;10</f>
        <v>1</v>
      </c>
    </row>
    <row r="185" spans="2:18" x14ac:dyDescent="0.25">
      <c r="B185" s="7" t="s">
        <v>44</v>
      </c>
      <c r="C185" t="s">
        <v>725</v>
      </c>
      <c r="D185" t="s">
        <v>726</v>
      </c>
      <c r="E185" t="s">
        <v>727</v>
      </c>
      <c r="F185" t="s">
        <v>728</v>
      </c>
      <c r="G185">
        <v>128</v>
      </c>
      <c r="H185">
        <v>3</v>
      </c>
      <c r="I185">
        <v>26</v>
      </c>
      <c r="J185">
        <v>0</v>
      </c>
      <c r="K185">
        <f>G185&lt;=164</f>
        <v>1</v>
      </c>
      <c r="L185">
        <f>G185&gt;164</f>
        <v>0</v>
      </c>
      <c r="M185">
        <f>H185&lt;=5</f>
        <v>1</v>
      </c>
      <c r="N185">
        <f>H185&gt;5</f>
        <v>0</v>
      </c>
      <c r="O185">
        <f>I185&lt;=7</f>
        <v>0</v>
      </c>
      <c r="P185">
        <f>I185&gt;7</f>
        <v>1</v>
      </c>
      <c r="Q185">
        <f>J185&lt;=10</f>
        <v>1</v>
      </c>
      <c r="R185">
        <f>J185&gt;10</f>
        <v>0</v>
      </c>
    </row>
    <row r="186" spans="2:18" x14ac:dyDescent="0.25">
      <c r="B186" s="7" t="s">
        <v>44</v>
      </c>
      <c r="C186" t="s">
        <v>729</v>
      </c>
      <c r="D186" t="s">
        <v>730</v>
      </c>
      <c r="E186" t="s">
        <v>731</v>
      </c>
      <c r="F186" t="s">
        <v>732</v>
      </c>
      <c r="G186">
        <v>90</v>
      </c>
      <c r="H186">
        <v>0.6</v>
      </c>
      <c r="I186">
        <v>21</v>
      </c>
      <c r="J186">
        <v>0</v>
      </c>
      <c r="K186">
        <f>G186&lt;=164</f>
        <v>1</v>
      </c>
      <c r="L186">
        <f>G186&gt;164</f>
        <v>0</v>
      </c>
      <c r="M186">
        <f>H186&lt;=5</f>
        <v>1</v>
      </c>
      <c r="N186">
        <f>H186&gt;5</f>
        <v>0</v>
      </c>
      <c r="O186">
        <f>I186&lt;=7</f>
        <v>0</v>
      </c>
      <c r="P186">
        <f>I186&gt;7</f>
        <v>1</v>
      </c>
      <c r="Q186">
        <f>J186&lt;=10</f>
        <v>1</v>
      </c>
      <c r="R186">
        <f>J186&gt;10</f>
        <v>0</v>
      </c>
    </row>
    <row r="187" spans="2:18" x14ac:dyDescent="0.25">
      <c r="B187" s="7" t="s">
        <v>44</v>
      </c>
      <c r="C187" t="s">
        <v>733</v>
      </c>
      <c r="D187" t="s">
        <v>734</v>
      </c>
      <c r="E187" t="s">
        <v>735</v>
      </c>
      <c r="F187" t="s">
        <v>736</v>
      </c>
      <c r="G187">
        <v>170</v>
      </c>
      <c r="H187">
        <v>8</v>
      </c>
      <c r="I187">
        <v>24</v>
      </c>
      <c r="J187">
        <v>0</v>
      </c>
      <c r="K187">
        <f>G187&lt;=164</f>
        <v>0</v>
      </c>
      <c r="L187">
        <f>G187&gt;164</f>
        <v>1</v>
      </c>
      <c r="M187">
        <f>H187&lt;=5</f>
        <v>0</v>
      </c>
      <c r="N187">
        <f>H187&gt;5</f>
        <v>1</v>
      </c>
      <c r="O187">
        <f>I187&lt;=7</f>
        <v>0</v>
      </c>
      <c r="P187">
        <f>I187&gt;7</f>
        <v>1</v>
      </c>
      <c r="Q187">
        <f>J187&lt;=10</f>
        <v>1</v>
      </c>
      <c r="R187">
        <f>J187&gt;10</f>
        <v>0</v>
      </c>
    </row>
    <row r="188" spans="2:18" x14ac:dyDescent="0.25">
      <c r="B188" s="7" t="s">
        <v>44</v>
      </c>
      <c r="C188" t="s">
        <v>737</v>
      </c>
      <c r="D188" t="s">
        <v>738</v>
      </c>
      <c r="E188" t="s">
        <v>739</v>
      </c>
      <c r="F188" t="s">
        <v>740</v>
      </c>
      <c r="G188">
        <v>97</v>
      </c>
      <c r="H188">
        <v>1.5</v>
      </c>
      <c r="I188">
        <v>19</v>
      </c>
      <c r="J188">
        <v>0</v>
      </c>
      <c r="K188">
        <f>G188&lt;=164</f>
        <v>1</v>
      </c>
      <c r="L188">
        <f>G188&gt;164</f>
        <v>0</v>
      </c>
      <c r="M188">
        <f>H188&lt;=5</f>
        <v>1</v>
      </c>
      <c r="N188">
        <f>H188&gt;5</f>
        <v>0</v>
      </c>
      <c r="O188">
        <f>I188&lt;=7</f>
        <v>0</v>
      </c>
      <c r="P188">
        <f>I188&gt;7</f>
        <v>1</v>
      </c>
      <c r="Q188">
        <f>J188&lt;=10</f>
        <v>1</v>
      </c>
      <c r="R188">
        <f>J188&gt;10</f>
        <v>0</v>
      </c>
    </row>
    <row r="189" spans="2:18" x14ac:dyDescent="0.25">
      <c r="B189" s="7" t="s">
        <v>44</v>
      </c>
      <c r="C189" t="s">
        <v>741</v>
      </c>
      <c r="D189" t="s">
        <v>742</v>
      </c>
      <c r="E189" t="s">
        <v>743</v>
      </c>
      <c r="F189" t="s">
        <v>744</v>
      </c>
      <c r="G189">
        <v>111</v>
      </c>
      <c r="H189">
        <v>1</v>
      </c>
      <c r="I189">
        <v>21</v>
      </c>
      <c r="J189">
        <v>5</v>
      </c>
      <c r="K189">
        <f>G189&lt;=164</f>
        <v>1</v>
      </c>
      <c r="L189">
        <f>G189&gt;164</f>
        <v>0</v>
      </c>
      <c r="M189">
        <f>H189&lt;=5</f>
        <v>1</v>
      </c>
      <c r="N189">
        <f>H189&gt;5</f>
        <v>0</v>
      </c>
      <c r="O189">
        <f>I189&lt;=7</f>
        <v>0</v>
      </c>
      <c r="P189">
        <f>I189&gt;7</f>
        <v>1</v>
      </c>
      <c r="Q189">
        <f>J189&lt;=10</f>
        <v>1</v>
      </c>
      <c r="R189">
        <f>J189&gt;10</f>
        <v>0</v>
      </c>
    </row>
    <row r="190" spans="2:18" x14ac:dyDescent="0.25">
      <c r="B190" s="7" t="s">
        <v>44</v>
      </c>
      <c r="C190" t="s">
        <v>745</v>
      </c>
      <c r="D190" t="s">
        <v>746</v>
      </c>
      <c r="E190" t="s">
        <v>747</v>
      </c>
      <c r="F190" t="s">
        <v>748</v>
      </c>
      <c r="G190">
        <v>172</v>
      </c>
      <c r="H190">
        <v>4.5</v>
      </c>
      <c r="I190">
        <v>24</v>
      </c>
      <c r="J190">
        <v>7</v>
      </c>
      <c r="K190">
        <f>G190&lt;=164</f>
        <v>0</v>
      </c>
      <c r="L190">
        <f>G190&gt;164</f>
        <v>1</v>
      </c>
      <c r="M190">
        <f>H190&lt;=5</f>
        <v>1</v>
      </c>
      <c r="N190">
        <f>H190&gt;5</f>
        <v>0</v>
      </c>
      <c r="O190">
        <f>I190&lt;=7</f>
        <v>0</v>
      </c>
      <c r="P190">
        <f>I190&gt;7</f>
        <v>1</v>
      </c>
      <c r="Q190">
        <f>J190&lt;=10</f>
        <v>1</v>
      </c>
      <c r="R190">
        <f>J190&gt;10</f>
        <v>0</v>
      </c>
    </row>
    <row r="191" spans="2:18" x14ac:dyDescent="0.25">
      <c r="B191" s="7" t="s">
        <v>44</v>
      </c>
      <c r="C191" t="s">
        <v>749</v>
      </c>
      <c r="D191" t="s">
        <v>750</v>
      </c>
      <c r="E191" t="s">
        <v>751</v>
      </c>
      <c r="F191" t="s">
        <v>752</v>
      </c>
      <c r="G191">
        <v>121</v>
      </c>
      <c r="H191">
        <v>5</v>
      </c>
      <c r="I191">
        <v>12</v>
      </c>
      <c r="J191">
        <v>9</v>
      </c>
      <c r="K191">
        <f>G191&lt;=164</f>
        <v>1</v>
      </c>
      <c r="L191">
        <f>G191&gt;164</f>
        <v>0</v>
      </c>
      <c r="M191">
        <f>H191&lt;=5</f>
        <v>1</v>
      </c>
      <c r="N191">
        <f>H191&gt;5</f>
        <v>0</v>
      </c>
      <c r="O191">
        <f>I191&lt;=7</f>
        <v>0</v>
      </c>
      <c r="P191">
        <f>I191&gt;7</f>
        <v>1</v>
      </c>
      <c r="Q191">
        <f>J191&lt;=10</f>
        <v>1</v>
      </c>
      <c r="R191">
        <f>J191&gt;10</f>
        <v>0</v>
      </c>
    </row>
    <row r="192" spans="2:18" x14ac:dyDescent="0.25">
      <c r="B192" s="7" t="s">
        <v>44</v>
      </c>
      <c r="C192" t="s">
        <v>753</v>
      </c>
      <c r="D192" t="s">
        <v>754</v>
      </c>
      <c r="E192" t="s">
        <v>755</v>
      </c>
      <c r="F192" t="s">
        <v>756</v>
      </c>
      <c r="G192">
        <v>132</v>
      </c>
      <c r="H192">
        <v>0.5</v>
      </c>
      <c r="I192">
        <v>9</v>
      </c>
      <c r="J192">
        <v>24</v>
      </c>
      <c r="K192">
        <f>G192&lt;=164</f>
        <v>1</v>
      </c>
      <c r="L192">
        <f>G192&gt;164</f>
        <v>0</v>
      </c>
      <c r="M192">
        <f>H192&lt;=5</f>
        <v>1</v>
      </c>
      <c r="N192">
        <f>H192&gt;5</f>
        <v>0</v>
      </c>
      <c r="O192">
        <f>I192&lt;=7</f>
        <v>0</v>
      </c>
      <c r="P192">
        <f>I192&gt;7</f>
        <v>1</v>
      </c>
      <c r="Q192">
        <f>J192&lt;=10</f>
        <v>0</v>
      </c>
      <c r="R192">
        <f>J192&gt;10</f>
        <v>1</v>
      </c>
    </row>
    <row r="193" spans="2:18" x14ac:dyDescent="0.25">
      <c r="B193" s="7" t="s">
        <v>44</v>
      </c>
      <c r="C193" t="s">
        <v>757</v>
      </c>
      <c r="D193" t="s">
        <v>758</v>
      </c>
      <c r="E193" t="s">
        <v>759</v>
      </c>
      <c r="F193" t="s">
        <v>760</v>
      </c>
      <c r="G193">
        <v>127</v>
      </c>
      <c r="H193">
        <v>0.5</v>
      </c>
      <c r="I193">
        <v>9</v>
      </c>
      <c r="J193">
        <v>22</v>
      </c>
      <c r="K193">
        <f>G193&lt;=164</f>
        <v>1</v>
      </c>
      <c r="L193">
        <f>G193&gt;164</f>
        <v>0</v>
      </c>
      <c r="M193">
        <f>H193&lt;=5</f>
        <v>1</v>
      </c>
      <c r="N193">
        <f>H193&gt;5</f>
        <v>0</v>
      </c>
      <c r="O193">
        <f>I193&lt;=7</f>
        <v>0</v>
      </c>
      <c r="P193">
        <f>I193&gt;7</f>
        <v>1</v>
      </c>
      <c r="Q193">
        <f>J193&lt;=10</f>
        <v>0</v>
      </c>
      <c r="R193">
        <f>J193&gt;10</f>
        <v>1</v>
      </c>
    </row>
    <row r="194" spans="2:18" x14ac:dyDescent="0.25">
      <c r="B194" s="7" t="s">
        <v>44</v>
      </c>
      <c r="C194" t="s">
        <v>761</v>
      </c>
      <c r="D194" t="s">
        <v>762</v>
      </c>
      <c r="E194" t="s">
        <v>763</v>
      </c>
      <c r="F194" t="s">
        <v>764</v>
      </c>
      <c r="G194">
        <v>22</v>
      </c>
      <c r="H194">
        <v>0.2</v>
      </c>
      <c r="I194">
        <v>2.4</v>
      </c>
      <c r="J194">
        <v>4</v>
      </c>
      <c r="K194">
        <f>G194&lt;=164</f>
        <v>1</v>
      </c>
      <c r="L194">
        <f>G194&gt;164</f>
        <v>0</v>
      </c>
      <c r="M194">
        <f>H194&lt;=5</f>
        <v>1</v>
      </c>
      <c r="N194">
        <f>H194&gt;5</f>
        <v>0</v>
      </c>
      <c r="O194">
        <f>I194&lt;=7</f>
        <v>1</v>
      </c>
      <c r="P194">
        <f>I194&gt;7</f>
        <v>0</v>
      </c>
      <c r="Q194">
        <f>J194&lt;=10</f>
        <v>1</v>
      </c>
      <c r="R194">
        <f>J194&gt;10</f>
        <v>0</v>
      </c>
    </row>
    <row r="195" spans="2:18" x14ac:dyDescent="0.25">
      <c r="B195" s="7" t="s">
        <v>44</v>
      </c>
      <c r="C195" t="s">
        <v>765</v>
      </c>
      <c r="D195" t="s">
        <v>766</v>
      </c>
      <c r="E195" t="s">
        <v>767</v>
      </c>
      <c r="F195" t="s">
        <v>768</v>
      </c>
      <c r="G195">
        <v>35</v>
      </c>
      <c r="H195">
        <v>0.9</v>
      </c>
      <c r="I195">
        <v>2.9</v>
      </c>
      <c r="J195">
        <v>4.4</v>
      </c>
      <c r="K195">
        <f>G195&lt;=164</f>
        <v>1</v>
      </c>
      <c r="L195">
        <f>G195&gt;164</f>
        <v>0</v>
      </c>
      <c r="M195">
        <f>H195&lt;=5</f>
        <v>1</v>
      </c>
      <c r="N195">
        <f>H195&gt;5</f>
        <v>0</v>
      </c>
      <c r="O195">
        <f>I195&lt;=7</f>
        <v>1</v>
      </c>
      <c r="P195">
        <f>I195&gt;7</f>
        <v>0</v>
      </c>
      <c r="Q195">
        <f>J195&lt;=10</f>
        <v>1</v>
      </c>
      <c r="R195">
        <f>J195&gt;10</f>
        <v>0</v>
      </c>
    </row>
    <row r="196" spans="2:18" x14ac:dyDescent="0.25">
      <c r="B196" s="7" t="s">
        <v>44</v>
      </c>
      <c r="C196" t="s">
        <v>769</v>
      </c>
      <c r="D196" t="s">
        <v>770</v>
      </c>
      <c r="E196" t="s">
        <v>771</v>
      </c>
      <c r="F196" t="s">
        <v>772</v>
      </c>
      <c r="G196">
        <v>22</v>
      </c>
      <c r="H196">
        <v>0.3</v>
      </c>
      <c r="I196">
        <v>3.1</v>
      </c>
      <c r="J196">
        <v>3.3</v>
      </c>
      <c r="K196">
        <f>G196&lt;=164</f>
        <v>1</v>
      </c>
      <c r="L196">
        <f>G196&gt;164</f>
        <v>0</v>
      </c>
      <c r="M196">
        <f>H196&lt;=5</f>
        <v>1</v>
      </c>
      <c r="N196">
        <f>H196&gt;5</f>
        <v>0</v>
      </c>
      <c r="O196">
        <f>I196&lt;=7</f>
        <v>1</v>
      </c>
      <c r="P196">
        <f>I196&gt;7</f>
        <v>0</v>
      </c>
      <c r="Q196">
        <f>J196&lt;=10</f>
        <v>1</v>
      </c>
      <c r="R196">
        <f>J196&gt;10</f>
        <v>0</v>
      </c>
    </row>
    <row r="197" spans="2:18" x14ac:dyDescent="0.25">
      <c r="B197" s="7" t="s">
        <v>44</v>
      </c>
      <c r="C197" t="s">
        <v>773</v>
      </c>
      <c r="D197" t="s">
        <v>774</v>
      </c>
      <c r="E197" t="s">
        <v>775</v>
      </c>
      <c r="F197" t="s">
        <v>776</v>
      </c>
      <c r="G197">
        <v>35</v>
      </c>
      <c r="H197">
        <v>0.2</v>
      </c>
      <c r="I197">
        <v>1.8</v>
      </c>
      <c r="J197">
        <v>8</v>
      </c>
      <c r="K197">
        <f>G197&lt;=164</f>
        <v>1</v>
      </c>
      <c r="L197">
        <f>G197&gt;164</f>
        <v>0</v>
      </c>
      <c r="M197">
        <f>H197&lt;=5</f>
        <v>1</v>
      </c>
      <c r="N197">
        <f>H197&gt;5</f>
        <v>0</v>
      </c>
      <c r="O197">
        <f>I197&lt;=7</f>
        <v>1</v>
      </c>
      <c r="P197">
        <f>I197&gt;7</f>
        <v>0</v>
      </c>
      <c r="Q197">
        <f>J197&lt;=10</f>
        <v>1</v>
      </c>
      <c r="R197">
        <f>J197&gt;10</f>
        <v>0</v>
      </c>
    </row>
    <row r="198" spans="2:18" x14ac:dyDescent="0.25">
      <c r="B198" s="7" t="s">
        <v>44</v>
      </c>
      <c r="C198" t="s">
        <v>777</v>
      </c>
      <c r="D198" t="s">
        <v>778</v>
      </c>
      <c r="E198" t="s">
        <v>779</v>
      </c>
      <c r="F198" t="s">
        <v>780</v>
      </c>
      <c r="G198">
        <v>25</v>
      </c>
      <c r="H198">
        <v>0.1</v>
      </c>
      <c r="I198">
        <v>1.3</v>
      </c>
      <c r="J198">
        <v>6</v>
      </c>
      <c r="K198">
        <f>G198&lt;=164</f>
        <v>1</v>
      </c>
      <c r="L198">
        <f>G198&gt;164</f>
        <v>0</v>
      </c>
      <c r="M198">
        <f>H198&lt;=5</f>
        <v>1</v>
      </c>
      <c r="N198">
        <f>H198&gt;5</f>
        <v>0</v>
      </c>
      <c r="O198">
        <f>I198&lt;=7</f>
        <v>1</v>
      </c>
      <c r="P198">
        <f>I198&gt;7</f>
        <v>0</v>
      </c>
      <c r="Q198">
        <f>J198&lt;=10</f>
        <v>1</v>
      </c>
      <c r="R198">
        <f>J198&gt;10</f>
        <v>0</v>
      </c>
    </row>
    <row r="199" spans="2:18" x14ac:dyDescent="0.25">
      <c r="B199" s="7" t="s">
        <v>44</v>
      </c>
      <c r="C199" t="s">
        <v>781</v>
      </c>
      <c r="D199" t="s">
        <v>782</v>
      </c>
      <c r="E199" t="s">
        <v>783</v>
      </c>
      <c r="F199" t="s">
        <v>784</v>
      </c>
      <c r="G199">
        <v>36</v>
      </c>
      <c r="H199">
        <v>0.5</v>
      </c>
      <c r="I199">
        <v>2.6</v>
      </c>
      <c r="J199">
        <v>7</v>
      </c>
      <c r="K199">
        <f>G199&lt;=164</f>
        <v>1</v>
      </c>
      <c r="L199">
        <f>G199&gt;164</f>
        <v>0</v>
      </c>
      <c r="M199">
        <f>H199&lt;=5</f>
        <v>1</v>
      </c>
      <c r="N199">
        <f>H199&gt;5</f>
        <v>0</v>
      </c>
      <c r="O199">
        <f>I199&lt;=7</f>
        <v>1</v>
      </c>
      <c r="P199">
        <f>I199&gt;7</f>
        <v>0</v>
      </c>
      <c r="Q199">
        <f>J199&lt;=10</f>
        <v>1</v>
      </c>
      <c r="R199">
        <f>J199&gt;10</f>
        <v>0</v>
      </c>
    </row>
    <row r="200" spans="2:18" x14ac:dyDescent="0.25">
      <c r="B200" s="7" t="s">
        <v>44</v>
      </c>
      <c r="C200" t="s">
        <v>785</v>
      </c>
      <c r="D200" t="s">
        <v>786</v>
      </c>
      <c r="E200" t="s">
        <v>787</v>
      </c>
      <c r="F200" t="s">
        <v>788</v>
      </c>
      <c r="G200">
        <v>57</v>
      </c>
      <c r="H200">
        <v>0.1</v>
      </c>
      <c r="I200">
        <v>0.4</v>
      </c>
      <c r="J200">
        <v>15</v>
      </c>
      <c r="K200">
        <f>G200&lt;=164</f>
        <v>1</v>
      </c>
      <c r="L200">
        <f>G200&gt;164</f>
        <v>0</v>
      </c>
      <c r="M200">
        <f>H200&lt;=5</f>
        <v>1</v>
      </c>
      <c r="N200">
        <f>H200&gt;5</f>
        <v>0</v>
      </c>
      <c r="O200">
        <f>I200&lt;=7</f>
        <v>1</v>
      </c>
      <c r="P200">
        <f>I200&gt;7</f>
        <v>0</v>
      </c>
      <c r="Q200">
        <f>J200&lt;=10</f>
        <v>0</v>
      </c>
      <c r="R200">
        <f>J200&gt;10</f>
        <v>1</v>
      </c>
    </row>
    <row r="201" spans="2:18" x14ac:dyDescent="0.25">
      <c r="B201" s="7" t="s">
        <v>44</v>
      </c>
      <c r="C201" t="s">
        <v>789</v>
      </c>
      <c r="D201" t="s">
        <v>790</v>
      </c>
      <c r="E201" t="s">
        <v>791</v>
      </c>
      <c r="F201" t="s">
        <v>792</v>
      </c>
      <c r="G201">
        <v>61</v>
      </c>
      <c r="H201">
        <v>0.5</v>
      </c>
      <c r="I201">
        <v>1.1</v>
      </c>
      <c r="J201">
        <v>15</v>
      </c>
      <c r="K201">
        <f>G201&lt;=164</f>
        <v>1</v>
      </c>
      <c r="L201">
        <f>G201&gt;164</f>
        <v>0</v>
      </c>
      <c r="M201">
        <f>H201&lt;=5</f>
        <v>1</v>
      </c>
      <c r="N201">
        <f>H201&gt;5</f>
        <v>0</v>
      </c>
      <c r="O201">
        <f>I201&lt;=7</f>
        <v>1</v>
      </c>
      <c r="P201">
        <f>I201&gt;7</f>
        <v>0</v>
      </c>
      <c r="Q201">
        <f>J201&lt;=10</f>
        <v>0</v>
      </c>
      <c r="R201">
        <f>J201&gt;10</f>
        <v>1</v>
      </c>
    </row>
    <row r="202" spans="2:18" x14ac:dyDescent="0.25">
      <c r="B202" s="7" t="s">
        <v>44</v>
      </c>
      <c r="C202" t="s">
        <v>793</v>
      </c>
      <c r="D202" t="s">
        <v>794</v>
      </c>
      <c r="E202" t="s">
        <v>795</v>
      </c>
      <c r="F202" t="s">
        <v>796</v>
      </c>
      <c r="G202">
        <v>60</v>
      </c>
      <c r="H202">
        <v>0.4</v>
      </c>
      <c r="I202">
        <v>0.8</v>
      </c>
      <c r="J202">
        <v>15</v>
      </c>
      <c r="K202">
        <f>G202&lt;=164</f>
        <v>1</v>
      </c>
      <c r="L202">
        <f>G202&gt;164</f>
        <v>0</v>
      </c>
      <c r="M202">
        <f>H202&lt;=5</f>
        <v>1</v>
      </c>
      <c r="N202">
        <f>H202&gt;5</f>
        <v>0</v>
      </c>
      <c r="O202">
        <f>I202&lt;=7</f>
        <v>1</v>
      </c>
      <c r="P202">
        <f>I202&gt;7</f>
        <v>0</v>
      </c>
      <c r="Q202">
        <f>J202&lt;=10</f>
        <v>0</v>
      </c>
      <c r="R202">
        <f>J202&gt;10</f>
        <v>1</v>
      </c>
    </row>
    <row r="203" spans="2:18" x14ac:dyDescent="0.25">
      <c r="B203" s="7" t="s">
        <v>44</v>
      </c>
      <c r="C203" t="s">
        <v>797</v>
      </c>
      <c r="D203" t="s">
        <v>798</v>
      </c>
      <c r="E203" t="s">
        <v>799</v>
      </c>
      <c r="F203" t="s">
        <v>800</v>
      </c>
      <c r="G203">
        <v>50</v>
      </c>
      <c r="H203">
        <v>0.1</v>
      </c>
      <c r="I203">
        <v>0.5</v>
      </c>
      <c r="J203">
        <v>13</v>
      </c>
      <c r="K203">
        <f>G203&lt;=164</f>
        <v>1</v>
      </c>
      <c r="L203">
        <f>G203&gt;164</f>
        <v>0</v>
      </c>
      <c r="M203">
        <f>H203&lt;=5</f>
        <v>1</v>
      </c>
      <c r="N203">
        <f>H203&gt;5</f>
        <v>0</v>
      </c>
      <c r="O203">
        <f>I203&lt;=7</f>
        <v>1</v>
      </c>
      <c r="P203">
        <f>I203&gt;7</f>
        <v>0</v>
      </c>
      <c r="Q203">
        <f>J203&lt;=10</f>
        <v>0</v>
      </c>
      <c r="R203">
        <f>J203&gt;10</f>
        <v>1</v>
      </c>
    </row>
    <row r="204" spans="2:18" x14ac:dyDescent="0.25">
      <c r="B204" s="7" t="s">
        <v>44</v>
      </c>
      <c r="C204" t="s">
        <v>801</v>
      </c>
      <c r="D204" t="s">
        <v>802</v>
      </c>
      <c r="E204" t="s">
        <v>803</v>
      </c>
      <c r="F204" t="s">
        <v>804</v>
      </c>
      <c r="G204">
        <v>39</v>
      </c>
      <c r="H204">
        <v>0.3</v>
      </c>
      <c r="I204">
        <v>0.9</v>
      </c>
      <c r="J204">
        <v>10</v>
      </c>
      <c r="K204">
        <f>G204&lt;=164</f>
        <v>1</v>
      </c>
      <c r="L204">
        <f>G204&gt;164</f>
        <v>0</v>
      </c>
      <c r="M204">
        <f>H204&lt;=5</f>
        <v>1</v>
      </c>
      <c r="N204">
        <f>H204&gt;5</f>
        <v>0</v>
      </c>
      <c r="O204">
        <f>I204&lt;=7</f>
        <v>1</v>
      </c>
      <c r="P204">
        <f>I204&gt;7</f>
        <v>0</v>
      </c>
      <c r="Q204">
        <f>J204&lt;=10</f>
        <v>1</v>
      </c>
      <c r="R204">
        <f>J204&gt;10</f>
        <v>0</v>
      </c>
    </row>
    <row r="205" spans="2:18" x14ac:dyDescent="0.25">
      <c r="B205" s="7" t="s">
        <v>44</v>
      </c>
      <c r="C205" t="s">
        <v>805</v>
      </c>
      <c r="D205" t="s">
        <v>806</v>
      </c>
      <c r="E205" t="s">
        <v>807</v>
      </c>
      <c r="F205" t="s">
        <v>808</v>
      </c>
      <c r="G205">
        <v>166</v>
      </c>
      <c r="H205">
        <v>10</v>
      </c>
      <c r="I205">
        <v>8</v>
      </c>
      <c r="J205">
        <v>14</v>
      </c>
      <c r="K205">
        <f>G205&lt;=164</f>
        <v>0</v>
      </c>
      <c r="L205">
        <f>G205&gt;164</f>
        <v>1</v>
      </c>
      <c r="M205">
        <f>H205&lt;=5</f>
        <v>0</v>
      </c>
      <c r="N205">
        <f>H205&gt;5</f>
        <v>1</v>
      </c>
      <c r="O205">
        <f>I205&lt;=7</f>
        <v>0</v>
      </c>
      <c r="P205">
        <f>I205&gt;7</f>
        <v>1</v>
      </c>
      <c r="Q205">
        <f>J205&lt;=10</f>
        <v>0</v>
      </c>
      <c r="R205">
        <f>J205&gt;10</f>
        <v>1</v>
      </c>
    </row>
    <row r="206" spans="2:18" x14ac:dyDescent="0.25">
      <c r="B206" s="7" t="s">
        <v>44</v>
      </c>
      <c r="C206" t="s">
        <v>809</v>
      </c>
      <c r="D206" t="s">
        <v>810</v>
      </c>
      <c r="E206" t="s">
        <v>811</v>
      </c>
      <c r="F206" t="s">
        <v>812</v>
      </c>
      <c r="G206">
        <v>595</v>
      </c>
      <c r="H206">
        <v>54</v>
      </c>
      <c r="I206">
        <v>17</v>
      </c>
      <c r="J206">
        <v>21</v>
      </c>
      <c r="K206">
        <f>G206&lt;=164</f>
        <v>0</v>
      </c>
      <c r="L206">
        <f>G206&gt;164</f>
        <v>1</v>
      </c>
      <c r="M206">
        <f>H206&lt;=5</f>
        <v>0</v>
      </c>
      <c r="N206">
        <f>H206&gt;5</f>
        <v>1</v>
      </c>
      <c r="O206">
        <f>I206&lt;=7</f>
        <v>0</v>
      </c>
      <c r="P206">
        <f>I206&gt;7</f>
        <v>1</v>
      </c>
      <c r="Q206">
        <f>J206&lt;=10</f>
        <v>0</v>
      </c>
      <c r="R206">
        <f>J206&gt;10</f>
        <v>1</v>
      </c>
    </row>
    <row r="207" spans="2:18" x14ac:dyDescent="0.25">
      <c r="B207" s="7" t="s">
        <v>44</v>
      </c>
      <c r="C207" t="s">
        <v>813</v>
      </c>
      <c r="D207" t="s">
        <v>814</v>
      </c>
      <c r="E207" t="s">
        <v>815</v>
      </c>
      <c r="F207" t="s">
        <v>816</v>
      </c>
      <c r="G207">
        <v>43</v>
      </c>
      <c r="H207">
        <v>1.5</v>
      </c>
      <c r="I207">
        <v>1</v>
      </c>
      <c r="J207">
        <v>7</v>
      </c>
      <c r="K207">
        <f>G207&lt;=164</f>
        <v>1</v>
      </c>
      <c r="L207">
        <f>G207&gt;164</f>
        <v>0</v>
      </c>
      <c r="M207">
        <f>H207&lt;=5</f>
        <v>1</v>
      </c>
      <c r="N207">
        <f>H207&gt;5</f>
        <v>0</v>
      </c>
      <c r="O207">
        <f>I207&lt;=7</f>
        <v>1</v>
      </c>
      <c r="P207">
        <f>I207&gt;7</f>
        <v>0</v>
      </c>
      <c r="Q207">
        <f>J207&lt;=10</f>
        <v>1</v>
      </c>
      <c r="R207">
        <f>J207&gt;10</f>
        <v>0</v>
      </c>
    </row>
    <row r="208" spans="2:18" x14ac:dyDescent="0.25">
      <c r="B208" s="7" t="s">
        <v>44</v>
      </c>
      <c r="C208" t="s">
        <v>817</v>
      </c>
      <c r="D208" t="s">
        <v>818</v>
      </c>
      <c r="E208" t="s">
        <v>819</v>
      </c>
      <c r="F208" t="s">
        <v>820</v>
      </c>
      <c r="G208">
        <v>15</v>
      </c>
      <c r="H208">
        <v>1.1</v>
      </c>
      <c r="I208">
        <v>0.6</v>
      </c>
      <c r="J208">
        <v>0.3</v>
      </c>
      <c r="K208">
        <f>G208&lt;=164</f>
        <v>1</v>
      </c>
      <c r="L208">
        <f>G208&gt;164</f>
        <v>0</v>
      </c>
      <c r="M208">
        <f>H208&lt;=5</f>
        <v>1</v>
      </c>
      <c r="N208">
        <f>H208&gt;5</f>
        <v>0</v>
      </c>
      <c r="O208">
        <f>I208&lt;=7</f>
        <v>1</v>
      </c>
      <c r="P208">
        <f>I208&gt;7</f>
        <v>0</v>
      </c>
      <c r="Q208">
        <f>J208&lt;=10</f>
        <v>1</v>
      </c>
      <c r="R208">
        <f>J208&gt;10</f>
        <v>0</v>
      </c>
    </row>
    <row r="209" spans="2:18" x14ac:dyDescent="0.25">
      <c r="B209" s="7" t="s">
        <v>44</v>
      </c>
      <c r="C209" t="s">
        <v>821</v>
      </c>
      <c r="D209" t="s">
        <v>822</v>
      </c>
      <c r="E209" t="s">
        <v>823</v>
      </c>
      <c r="F209" t="s">
        <v>824</v>
      </c>
      <c r="G209">
        <v>33</v>
      </c>
      <c r="H209">
        <v>1.8</v>
      </c>
      <c r="I209">
        <v>2.8</v>
      </c>
      <c r="J209">
        <v>1.2</v>
      </c>
      <c r="K209">
        <f>G209&lt;=164</f>
        <v>1</v>
      </c>
      <c r="L209">
        <f>G209&gt;164</f>
        <v>0</v>
      </c>
      <c r="M209">
        <f>H209&lt;=5</f>
        <v>1</v>
      </c>
      <c r="N209">
        <f>H209&gt;5</f>
        <v>0</v>
      </c>
      <c r="O209">
        <f>I209&lt;=7</f>
        <v>1</v>
      </c>
      <c r="P209">
        <f>I209&gt;7</f>
        <v>0</v>
      </c>
      <c r="Q209">
        <f>J209&lt;=10</f>
        <v>1</v>
      </c>
      <c r="R209">
        <f>J209&gt;10</f>
        <v>0</v>
      </c>
    </row>
    <row r="210" spans="2:18" x14ac:dyDescent="0.25">
      <c r="B210" s="7" t="s">
        <v>44</v>
      </c>
      <c r="C210" t="s">
        <v>825</v>
      </c>
      <c r="D210" t="s">
        <v>826</v>
      </c>
      <c r="E210" t="s">
        <v>827</v>
      </c>
      <c r="F210" t="s">
        <v>828</v>
      </c>
      <c r="G210">
        <v>370</v>
      </c>
      <c r="H210">
        <v>2</v>
      </c>
      <c r="I210">
        <v>80</v>
      </c>
      <c r="J210">
        <v>4</v>
      </c>
      <c r="K210">
        <f>G210&lt;=164</f>
        <v>0</v>
      </c>
      <c r="L210">
        <f>G210&gt;164</f>
        <v>1</v>
      </c>
      <c r="M210">
        <f>H210&lt;=5</f>
        <v>1</v>
      </c>
      <c r="N210">
        <f>H210&gt;5</f>
        <v>0</v>
      </c>
      <c r="O210">
        <f>I210&lt;=7</f>
        <v>0</v>
      </c>
      <c r="P210">
        <f>I210&gt;7</f>
        <v>1</v>
      </c>
      <c r="Q210">
        <f>J210&lt;=10</f>
        <v>1</v>
      </c>
      <c r="R210">
        <f>J210&gt;10</f>
        <v>0</v>
      </c>
    </row>
    <row r="211" spans="2:18" x14ac:dyDescent="0.25">
      <c r="B211" s="7" t="s">
        <v>44</v>
      </c>
      <c r="C211" t="s">
        <v>829</v>
      </c>
      <c r="D211" t="s">
        <v>830</v>
      </c>
      <c r="E211" t="s">
        <v>831</v>
      </c>
      <c r="F211" t="s">
        <v>832</v>
      </c>
      <c r="G211">
        <v>0</v>
      </c>
      <c r="H211">
        <v>0</v>
      </c>
      <c r="I211">
        <v>0</v>
      </c>
      <c r="J211">
        <v>0</v>
      </c>
      <c r="K211">
        <f>G211&lt;=164</f>
        <v>1</v>
      </c>
      <c r="L211">
        <f>G211&gt;164</f>
        <v>0</v>
      </c>
      <c r="M211">
        <f>H211&lt;=5</f>
        <v>1</v>
      </c>
      <c r="N211">
        <f>H211&gt;5</f>
        <v>0</v>
      </c>
      <c r="O211">
        <f>I211&lt;=7</f>
        <v>1</v>
      </c>
      <c r="P211">
        <f>I211&gt;7</f>
        <v>0</v>
      </c>
      <c r="Q211">
        <f>J211&lt;=10</f>
        <v>1</v>
      </c>
      <c r="R211">
        <f>J211&gt;10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>Untitled Document</dc:title>
  <dc:subject/>
  <dc:description/>
  <cp:keywords/>
  <cp:category/>
  <cp:lastModifiedBy>Unknown</cp:lastModifiedBy>
  <dcterms:created xsi:type="dcterms:W3CDTF">2026-06-02T20:42:20Z</dcterms:created>
  <dcterms:modified xsi:type="dcterms:W3CDTF">2026-06-02T20:42:20Z</dcterms:modified>
</cp:coreProperties>
</file>